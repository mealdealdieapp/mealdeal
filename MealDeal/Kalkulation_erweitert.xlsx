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lkulation" sheetId="1" state="visible" r:id="rId3"/>
    <sheet name="2 Gründer" sheetId="2" state="visible" r:id="rId4"/>
    <sheet name="Erlösmodell" sheetId="3" state="visible" r:id="rId5"/>
    <sheet name="Skalierung 24 Monate" sheetId="4" state="visible" r:id="rId6"/>
    <sheet name="Szenarien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<sst xmlns="http://schemas.openxmlformats.org/spreadsheetml/2006/main" count="196" uniqueCount="140">
  <si>
    <t xml:space="preserve">Privat</t>
  </si>
  <si>
    <t xml:space="preserve">p.m.</t>
  </si>
  <si>
    <t xml:space="preserve">p.a.</t>
  </si>
  <si>
    <t xml:space="preserve">Tage gesamt</t>
  </si>
  <si>
    <t xml:space="preserve">pro </t>
  </si>
  <si>
    <t xml:space="preserve">Jahr</t>
  </si>
  <si>
    <t xml:space="preserve">Lebenshaltung</t>
  </si>
  <si>
    <t xml:space="preserve">Urlaub</t>
  </si>
  <si>
    <t xml:space="preserve">KV</t>
  </si>
  <si>
    <t xml:space="preserve">Feiertage</t>
  </si>
  <si>
    <t xml:space="preserve">RV</t>
  </si>
  <si>
    <t xml:space="preserve">Wochenende</t>
  </si>
  <si>
    <t xml:space="preserve">Miete</t>
  </si>
  <si>
    <t xml:space="preserve">Weiterbildungen</t>
  </si>
  <si>
    <t xml:space="preserve">Freizeit</t>
  </si>
  <si>
    <t xml:space="preserve">Krank</t>
  </si>
  <si>
    <t xml:space="preserve">Sonstiges</t>
  </si>
  <si>
    <t xml:space="preserve">Büro/Orga</t>
  </si>
  <si>
    <t xml:space="preserve">Produktive Tage </t>
  </si>
  <si>
    <t xml:space="preserve">Produktive Tage gerundet</t>
  </si>
  <si>
    <t xml:space="preserve">Monat</t>
  </si>
  <si>
    <t xml:space="preserve">produktive Stunden</t>
  </si>
  <si>
    <t xml:space="preserve">Summe</t>
  </si>
  <si>
    <t xml:space="preserve">Gewinn</t>
  </si>
  <si>
    <t xml:space="preserve">EK Steuer</t>
  </si>
  <si>
    <t xml:space="preserve">p.m</t>
  </si>
  <si>
    <t xml:space="preserve">Risiko</t>
  </si>
  <si>
    <t xml:space="preserve">Wohlfühlzuschlag</t>
  </si>
  <si>
    <t xml:space="preserve">Unternehmen</t>
  </si>
  <si>
    <t xml:space="preserve">min Umsatz</t>
  </si>
  <si>
    <t xml:space="preserve">Nebenkosten</t>
  </si>
  <si>
    <t xml:space="preserve">Fahrzeug</t>
  </si>
  <si>
    <t xml:space="preserve">Werbekosten</t>
  </si>
  <si>
    <t xml:space="preserve">Reisekosten</t>
  </si>
  <si>
    <t xml:space="preserve">Soll</t>
  </si>
  <si>
    <t xml:space="preserve">Kommunikation</t>
  </si>
  <si>
    <t xml:space="preserve">Versicherungen/Gebühren</t>
  </si>
  <si>
    <t xml:space="preserve">netto</t>
  </si>
  <si>
    <t xml:space="preserve">brutto</t>
  </si>
  <si>
    <t xml:space="preserve">Beratung</t>
  </si>
  <si>
    <t xml:space="preserve">Tagesumsatz</t>
  </si>
  <si>
    <t xml:space="preserve">Leasing</t>
  </si>
  <si>
    <t xml:space="preserve">Stundensatz</t>
  </si>
  <si>
    <t xml:space="preserve">Lizenzen</t>
  </si>
  <si>
    <t xml:space="preserve">Anzahl nutzer</t>
  </si>
  <si>
    <t xml:space="preserve">Sonstige</t>
  </si>
  <si>
    <t xml:space="preserve">GRÜNDER 1 - Privatkosten</t>
  </si>
  <si>
    <t xml:space="preserve">Krankenversicherung</t>
  </si>
  <si>
    <t xml:space="preserve">Rentenversicherung</t>
  </si>
  <si>
    <t xml:space="preserve">Miete (privat)</t>
  </si>
  <si>
    <t xml:space="preserve">Summe Gründer 1</t>
  </si>
  <si>
    <t xml:space="preserve">EK-Steuer Gründer 1 (2025)</t>
  </si>
  <si>
    <t xml:space="preserve">GRÜNDER 2 - Privatkosten</t>
  </si>
  <si>
    <t xml:space="preserve">Summe Gründer 2</t>
  </si>
  <si>
    <t xml:space="preserve">EK-Steuer Gründer 2 (2025)</t>
  </si>
  <si>
    <t xml:space="preserve">UNTERNEHMENSKOSTEN</t>
  </si>
  <si>
    <t xml:space="preserve">Büro/Miete</t>
  </si>
  <si>
    <t xml:space="preserve">Werbekosten/Marketing</t>
  </si>
  <si>
    <t xml:space="preserve">Steuerberatung</t>
  </si>
  <si>
    <t xml:space="preserve">Leasing/Hardware</t>
  </si>
  <si>
    <t xml:space="preserve">Lizenzen/Software</t>
  </si>
  <si>
    <t xml:space="preserve">Server/Hosting (Supabase etc.)</t>
  </si>
  <si>
    <t xml:space="preserve">Summe Unternehmen</t>
  </si>
  <si>
    <t xml:space="preserve">GESAMTÜBERSICHT 2 GRÜNDER</t>
  </si>
  <si>
    <t xml:space="preserve">ZUSCHLÄGE</t>
  </si>
  <si>
    <t xml:space="preserve">Satz</t>
  </si>
  <si>
    <t xml:space="preserve">Privatkosten Gründer 1</t>
  </si>
  <si>
    <t xml:space="preserve">Gewinnmarge</t>
  </si>
  <si>
    <t xml:space="preserve">Privatkosten Gründer 2</t>
  </si>
  <si>
    <t xml:space="preserve">Risikopuffer</t>
  </si>
  <si>
    <t xml:space="preserve">Unternehmenskosten</t>
  </si>
  <si>
    <t xml:space="preserve">Gesamtkosten (Basis)</t>
  </si>
  <si>
    <t xml:space="preserve">+ Gewinnmarge (5%)</t>
  </si>
  <si>
    <t xml:space="preserve">+ Risikopuffer (5%)</t>
  </si>
  <si>
    <t xml:space="preserve">+ Wohlfühlzuschlag (10%)</t>
  </si>
  <si>
    <t xml:space="preserve">SOLL-UMSATZ (netto)</t>
  </si>
  <si>
    <t xml:space="preserve">SOLL-UMSATZ (brutto, 19% MwSt)</t>
  </si>
  <si>
    <t xml:space="preserve">Pro Gründer (netto)</t>
  </si>
  <si>
    <t xml:space="preserve">ANNAHMEN - ERLÖSSTRÖME</t>
  </si>
  <si>
    <t xml:space="preserve">Wert</t>
  </si>
  <si>
    <t xml:space="preserve">ERLÖS-AUFTEILUNG BEI 10.000 NUTZERN</t>
  </si>
  <si>
    <t xml:space="preserve">Premium-Abo Preis (€/Monat)</t>
  </si>
  <si>
    <t xml:space="preserve">Premium-Nutzer (Anzahl)</t>
  </si>
  <si>
    <t xml:space="preserve">Free-to-Premium Conversion Rate</t>
  </si>
  <si>
    <t xml:space="preserve">Free-Nutzer (Anzahl)</t>
  </si>
  <si>
    <t xml:space="preserve">Monatliche Churn Rate (Premium)</t>
  </si>
  <si>
    <t xml:space="preserve">Affiliate Erlös pro Klick (€)</t>
  </si>
  <si>
    <t xml:space="preserve">Premium-Abo Einnahmen</t>
  </si>
  <si>
    <t xml:space="preserve">Klicks pro aktivem Nutzer/Monat</t>
  </si>
  <si>
    <t xml:space="preserve">Affiliate Einnahmen</t>
  </si>
  <si>
    <t xml:space="preserve">Werbeeinnahmen pro 1000 Views (CPM, €)</t>
  </si>
  <si>
    <t xml:space="preserve">Werbe-Einnahmen</t>
  </si>
  <si>
    <t xml:space="preserve">Ad-Views pro Nutzer/Monat (Free)</t>
  </si>
  <si>
    <t xml:space="preserve">Gesponserte Rezepte</t>
  </si>
  <si>
    <t xml:space="preserve">Gesponserte Rezepte (€/Stück/Monat)</t>
  </si>
  <si>
    <t xml:space="preserve">Anzahl gesponserter Rezepte</t>
  </si>
  <si>
    <t xml:space="preserve">Gesamterlös p.m. bei 10k Nutzern</t>
  </si>
  <si>
    <t xml:space="preserve">ERLÖS PRO NUTZER / MONAT</t>
  </si>
  <si>
    <t xml:space="preserve">Premium-Nutzer Erlös</t>
  </si>
  <si>
    <t xml:space="preserve">Free-Nutzer Affiliate-Erlös</t>
  </si>
  <si>
    <t xml:space="preserve">Free-Nutzer Werbe-Erlös</t>
  </si>
  <si>
    <t xml:space="preserve">Ø Erlös pro Nutzer (gewichtet)</t>
  </si>
  <si>
    <t xml:space="preserve">BREAK-EVEN ANALYSE</t>
  </si>
  <si>
    <t xml:space="preserve">Soll-Umsatz p.m. (1 Gründer)</t>
  </si>
  <si>
    <t xml:space="preserve">Soll-Umsatz p.m. (2 Gründer)</t>
  </si>
  <si>
    <t xml:space="preserve">Benötigte aktive Nutzer (1 Gründer)</t>
  </si>
  <si>
    <t xml:space="preserve">Benötigte aktive Nutzer (2 Gründer)</t>
  </si>
  <si>
    <t xml:space="preserve">Neue Nutzer</t>
  </si>
  <si>
    <t xml:space="preserve">Gesamt Nutzer</t>
  </si>
  <si>
    <t xml:space="preserve">Aktive Nutzer (80%)</t>
  </si>
  <si>
    <t xml:space="preserve">Premium Nutzer</t>
  </si>
  <si>
    <t xml:space="preserve">Free Nutzer</t>
  </si>
  <si>
    <t xml:space="preserve">Erlös Premium (€)</t>
  </si>
  <si>
    <t xml:space="preserve">Erlös Affiliate (€)</t>
  </si>
  <si>
    <t xml:space="preserve">Erlös Werbung (€)</t>
  </si>
  <si>
    <t xml:space="preserve">Erlös Gesponsert (€)</t>
  </si>
  <si>
    <t xml:space="preserve">Gesamterlös (€)</t>
  </si>
  <si>
    <t xml:space="preserve">Kosten (€)</t>
  </si>
  <si>
    <t xml:space="preserve">Gewinn/Verlust (€)</t>
  </si>
  <si>
    <t xml:space="preserve">Kumuliert (€)</t>
  </si>
  <si>
    <t xml:space="preserve">Annahme:</t>
  </si>
  <si>
    <t xml:space="preserve">80% aktiv</t>
  </si>
  <si>
    <t xml:space="preserve">GESAMT</t>
  </si>
  <si>
    <t xml:space="preserve">Break-Even Monat:</t>
  </si>
  <si>
    <t xml:space="preserve">SZENARIO-VERGLEICH</t>
  </si>
  <si>
    <t xml:space="preserve">Pessimistisch</t>
  </si>
  <si>
    <t xml:space="preserve">Realistisch</t>
  </si>
  <si>
    <t xml:space="preserve">Optimistisch</t>
  </si>
  <si>
    <t xml:space="preserve">Conversion Rate</t>
  </si>
  <si>
    <t xml:space="preserve">Abo-Preis (€/Monat)</t>
  </si>
  <si>
    <t xml:space="preserve">Nutzer nach 12 Monaten</t>
  </si>
  <si>
    <t xml:space="preserve">Nutzer nach 24 Monaten</t>
  </si>
  <si>
    <t xml:space="preserve">Monatl. Churn Rate</t>
  </si>
  <si>
    <t xml:space="preserve">ERGEBNIS NACH 12 MONATEN</t>
  </si>
  <si>
    <t xml:space="preserve">Ø Erlös pro Nutzer/Monat (€)</t>
  </si>
  <si>
    <t xml:space="preserve">Monatsumsatz (€)</t>
  </si>
  <si>
    <t xml:space="preserve">Kosten p.m. (2 Gründer)</t>
  </si>
  <si>
    <t xml:space="preserve">Monatl. Gewinn/Verlust</t>
  </si>
  <si>
    <t xml:space="preserve">ERGEBNIS NACH 24 MONATEN</t>
  </si>
  <si>
    <t xml:space="preserve">Benötigte Nutzer für Break-Even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</si>
</sst>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-* #,##0.00\ [$€-407]_-;\-* #,##0.00\ [$€-407]_-;_-* \-??\ [$€-407]_-;_-@_-"/>
    <numFmt numFmtId="166" formatCode="0"/>
    <numFmt numFmtId="167" formatCode="0%"/>
    <numFmt numFmtId="168" formatCode="_(\$* #,##0.00_);_(\$* \(#,##0.00\);_(\$* \-??_);_(@_)"/>
    <numFmt numFmtId="169" formatCode="_-* #,##0.00&quot; €&quot;_-;\-* #,##0.00&quot; €&quot;_-;_-* \-??&quot; €&quot;_-;_-@_-"/>
    <numFmt numFmtId="170" formatCode="#,##0&quot; €&quot;"/>
    <numFmt numFmtId="171" formatCode="#,##0.00&quot; €&quot;"/>
    <numFmt numFmtId="172" formatCode="#,##0"/>
    <numFmt numFmtId="173" formatCode="0.0%"/>
    <numFmt numFmtId="174" formatCode="#,##0&quot; €&quot;;[RED]\(#,##0&quot; €)&quot;;\-"/>
  </numFmts>
  <fonts count="17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2"/>
      <charset val="1"/>
    </font>
    <font>
      <b val="true"/>
      <sz val="11"/>
      <color theme="0"/>
      <name val="Aptos Narrow"/>
      <family val="2"/>
      <charset val="1"/>
    </font>
    <font>
      <b val="true"/>
      <sz val="11"/>
      <name val="Aptos Narrow"/>
      <family val="2"/>
      <charset val="1"/>
    </font>
    <font>
      <sz val="11"/>
      <color theme="0"/>
      <name val="Aptos Narrow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375623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i val="true"/>
      <sz val="9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theme="6"/>
        <bgColor rgb="FF375623"/>
      </patternFill>
    </fill>
    <fill>
      <patternFill patternType="solid">
        <fgColor theme="5" tint="0.5999"/>
        <bgColor rgb="FFF2CFEE"/>
      </patternFill>
    </fill>
    <fill>
      <patternFill patternType="solid">
        <fgColor theme="6" tint="0.5999"/>
        <bgColor rgb="FF47D45A"/>
      </patternFill>
    </fill>
    <fill>
      <patternFill patternType="solid">
        <fgColor theme="5" tint="0.7999"/>
        <bgColor rgb="FFFCE4D6"/>
      </patternFill>
    </fill>
    <fill>
      <patternFill patternType="solid">
        <fgColor theme="6" tint="0.7999"/>
        <bgColor rgb="FFE2EFDA"/>
      </patternFill>
    </fill>
    <fill>
      <patternFill patternType="solid">
        <fgColor theme="1"/>
        <bgColor rgb="FF003300"/>
      </patternFill>
    </fill>
    <fill>
      <patternFill patternType="solid">
        <fgColor theme="0" tint="-0.35"/>
        <bgColor rgb="FF9999FF"/>
      </patternFill>
    </fill>
    <fill>
      <patternFill patternType="solid">
        <fgColor theme="8"/>
        <bgColor rgb="FF993366"/>
      </patternFill>
    </fill>
    <fill>
      <patternFill patternType="solid">
        <fgColor theme="8" tint="0.5999"/>
        <bgColor rgb="FFF2AA84"/>
      </patternFill>
    </fill>
    <fill>
      <patternFill patternType="solid">
        <fgColor theme="8" tint="0.7999"/>
        <bgColor rgb="FFFBE3D6"/>
      </patternFill>
    </fill>
    <fill>
      <patternFill patternType="solid">
        <fgColor rgb="FF2F5496"/>
        <bgColor rgb="FF666699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BE3D6"/>
      </patternFill>
    </fill>
    <fill>
      <patternFill patternType="solid">
        <fgColor rgb="FFFFF2CC"/>
        <bgColor rgb="FFFCE4D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n">
        <color theme="5" tint="0.3999"/>
      </left>
      <right/>
      <top style="thin">
        <color theme="5" tint="0.3999"/>
      </top>
      <bottom/>
      <diagonal/>
    </border>
    <border diagonalUp="false" diagonalDown="false">
      <left style="thin">
        <color theme="5" tint="0.3999"/>
      </left>
      <right style="thin">
        <color theme="5" tint="0.3999"/>
      </right>
      <top style="thin">
        <color theme="5" tint="0.3999"/>
      </top>
      <bottom/>
      <diagonal/>
    </border>
    <border diagonalUp="false" diagonalDown="false">
      <left/>
      <right/>
      <top style="thick">
        <color theme="0"/>
      </top>
      <bottom/>
      <diagonal/>
    </border>
    <border diagonalUp="false" diagonalDown="false">
      <left style="thin">
        <color theme="0"/>
      </left>
      <right/>
      <top style="thick">
        <color theme="0"/>
      </top>
      <bottom/>
      <diagonal/>
    </border>
    <border diagonalUp="false" diagonalDown="false">
      <left/>
      <right/>
      <top style="thin">
        <color theme="0"/>
      </top>
      <bottom/>
      <diagonal/>
    </border>
    <border diagonalUp="false" diagonalDown="false">
      <left style="thin">
        <color theme="0"/>
      </left>
      <right/>
      <top style="thin">
        <color theme="0"/>
      </top>
      <bottom/>
      <diagonal/>
    </border>
    <border diagonalUp="false" diagonalDown="false">
      <left style="thin">
        <color theme="5" tint="0.3999"/>
      </left>
      <right/>
      <top style="thin">
        <color theme="5" tint="0.3999"/>
      </top>
      <bottom style="thin">
        <color theme="5" tint="0.3999"/>
      </bottom>
      <diagonal/>
    </border>
    <border diagonalUp="false" diagonalDown="false">
      <left style="thin">
        <color theme="5" tint="0.3999"/>
      </left>
      <right style="thin">
        <color theme="5" tint="0.3999"/>
      </right>
      <top style="thin">
        <color theme="5" tint="0.3999"/>
      </top>
      <bottom style="thin">
        <color theme="5" tint="0.3999"/>
      </bottom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theme="0"/>
      </left>
      <right/>
      <top style="thin"/>
      <bottom style="double"/>
      <diagonal/>
    </border>
    <border diagonalUp="false" diagonalDown="false">
      <left style="thin">
        <color theme="6" tint="0.3999"/>
      </left>
      <right/>
      <top style="thin">
        <color theme="6" tint="0.3999"/>
      </top>
      <bottom/>
      <diagonal/>
    </border>
    <border diagonalUp="false" diagonalDown="false">
      <left style="thin">
        <color theme="6" tint="0.3999"/>
      </left>
      <right style="thin">
        <color theme="6" tint="0.3999"/>
      </right>
      <top style="thin">
        <color theme="6" tint="0.3999"/>
      </top>
      <bottom/>
      <diagonal/>
    </border>
    <border diagonalUp="false" diagonalDown="false">
      <left style="thin">
        <color theme="6" tint="0.3999"/>
      </left>
      <right/>
      <top style="thin">
        <color theme="6" tint="0.3999"/>
      </top>
      <bottom style="thin">
        <color theme="6" tint="0.3999"/>
      </bottom>
      <diagonal/>
    </border>
    <border diagonalUp="false" diagonalDown="false">
      <left style="thin">
        <color theme="6" tint="0.3999"/>
      </left>
      <right style="thin">
        <color theme="6" tint="0.3999"/>
      </right>
      <top style="thin">
        <color theme="6" tint="0.3999"/>
      </top>
      <bottom style="thin">
        <color theme="6" tint="0.3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8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1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11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11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6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1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15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1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1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1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1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1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4" fillId="1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17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1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1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1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6" fillId="1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6" fillId="18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0" fillId="13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1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16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08080"/>
      <rgbColor rgb="FFF2CFEE"/>
      <rgbColor rgb="FF808080"/>
      <rgbColor rgb="FF9999FF"/>
      <rgbColor rgb="FFA02B93"/>
      <rgbColor rgb="FFFFF2CC"/>
      <rgbColor rgb="FFE2EFDA"/>
      <rgbColor rgb="FF660066"/>
      <rgbColor rgb="FFF2AA84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2F1C8"/>
      <rgbColor rgb="FFFCE4D6"/>
      <rgbColor rgb="FF84E291"/>
      <rgbColor rgb="FFE59EDD"/>
      <rgbColor rgb="FFFBE3D6"/>
      <rgbColor rgb="FFF6C6AD"/>
      <rgbColor rgb="FF3366FF"/>
      <rgbColor rgb="FF47D45A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2F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le2" displayName="Tabelle2" ref="B17:D36" headerRowCount="1" totalsRowCount="0" totalsRowShown="0">
  <autoFilter ref="B17:D36">
    <filterColumn colId="0" hiddenButton="1"/>
    <filterColumn colId="1" hiddenButton="1"/>
    <filterColumn colId="2" hiddenButton="1"/>
  </autoFilter>
  <tableColumns count="3">
    <tableColumn id="1" name="Unternehmen"/>
    <tableColumn id="2" name="p.m."/>
    <tableColumn id="3" name="p.a.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G34" activeCellId="0" sqref="G34"/>
    </sheetView>
  </sheetViews>
  <sheetFormatPr defaultColWidth="10.5390625" defaultRowHeight="15" customHeight="false" zeroHeight="false" outlineLevelRow="0" outlineLevelCol="0"/>
  <cols>
    <col collapsed="false" customWidth="true" hidden="false" outlineLevel="0" max="1" min="1" style="0" width="2.14"/>
    <col collapsed="false" customWidth="true" hidden="false" outlineLevel="0" max="2" min="2" style="0" width="23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3.43"/>
    <col collapsed="false" customWidth="true" hidden="false" outlineLevel="0" max="6" min="6" style="0" width="24"/>
    <col collapsed="false" customWidth="true" hidden="false" outlineLevel="0" max="7" min="7" style="0" width="13.29"/>
    <col collapsed="false" customWidth="true" hidden="false" outlineLevel="0" max="8" min="8" style="0" width="14"/>
    <col collapsed="false" customWidth="true" hidden="false" outlineLevel="0" max="9" min="9" style="0" width="8.43"/>
    <col collapsed="false" customWidth="true" hidden="false" outlineLevel="0" max="11" min="11" style="0" width="12.14"/>
    <col collapsed="false" customWidth="true" hidden="false" outlineLevel="0" max="12" min="12" style="0" width="13.14"/>
  </cols>
  <sheetData>
    <row r="1" customFormat="false" ht="15" hidden="false" customHeight="false" outlineLevel="0" collapsed="false">
      <c r="A1" s="1" t="n">
        <f aca="false">D12</f>
        <v>22800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true" outlineLevel="0" collapsed="false">
      <c r="A2" s="2"/>
      <c r="B2" s="3" t="s">
        <v>0</v>
      </c>
      <c r="C2" s="4" t="s">
        <v>1</v>
      </c>
      <c r="D2" s="4" t="s">
        <v>2</v>
      </c>
      <c r="E2" s="2"/>
      <c r="F2" s="5" t="s">
        <v>3</v>
      </c>
      <c r="G2" s="5" t="s">
        <v>4</v>
      </c>
      <c r="H2" s="5" t="s">
        <v>5</v>
      </c>
      <c r="I2" s="6" t="n">
        <v>365</v>
      </c>
      <c r="J2" s="2"/>
    </row>
    <row r="3" customFormat="false" ht="15.75" hidden="false" customHeight="true" outlineLevel="0" collapsed="false">
      <c r="A3" s="2"/>
      <c r="B3" s="7" t="s">
        <v>6</v>
      </c>
      <c r="C3" s="8" t="n">
        <v>250</v>
      </c>
      <c r="D3" s="8" t="n">
        <f aca="false">C3*12</f>
        <v>3000</v>
      </c>
      <c r="E3" s="2"/>
      <c r="F3" s="9" t="s">
        <v>7</v>
      </c>
      <c r="G3" s="9" t="s">
        <v>4</v>
      </c>
      <c r="H3" s="9" t="s">
        <v>5</v>
      </c>
      <c r="I3" s="10" t="n">
        <v>-20</v>
      </c>
      <c r="J3" s="2"/>
    </row>
    <row r="4" customFormat="false" ht="15" hidden="false" customHeight="false" outlineLevel="0" collapsed="false">
      <c r="A4" s="2"/>
      <c r="B4" s="11" t="s">
        <v>8</v>
      </c>
      <c r="C4" s="12" t="n">
        <v>400</v>
      </c>
      <c r="D4" s="12" t="n">
        <f aca="false">C4*12</f>
        <v>4800</v>
      </c>
      <c r="E4" s="2"/>
      <c r="F4" s="5" t="s">
        <v>9</v>
      </c>
      <c r="G4" s="5" t="s">
        <v>4</v>
      </c>
      <c r="H4" s="5" t="s">
        <v>5</v>
      </c>
      <c r="I4" s="6" t="n">
        <v>-11</v>
      </c>
      <c r="J4" s="2"/>
    </row>
    <row r="5" customFormat="false" ht="15" hidden="false" customHeight="false" outlineLevel="0" collapsed="false">
      <c r="A5" s="2"/>
      <c r="B5" s="13" t="s">
        <v>10</v>
      </c>
      <c r="C5" s="14" t="n">
        <v>300</v>
      </c>
      <c r="D5" s="14" t="n">
        <f aca="false">C5*12</f>
        <v>3600</v>
      </c>
      <c r="E5" s="2"/>
      <c r="F5" s="9" t="s">
        <v>11</v>
      </c>
      <c r="G5" s="9" t="s">
        <v>4</v>
      </c>
      <c r="H5" s="9" t="s">
        <v>5</v>
      </c>
      <c r="I5" s="10" t="n">
        <v>-104</v>
      </c>
      <c r="J5" s="2"/>
    </row>
    <row r="6" customFormat="false" ht="15" hidden="false" customHeight="false" outlineLevel="0" collapsed="false">
      <c r="A6" s="2"/>
      <c r="B6" s="11" t="s">
        <v>12</v>
      </c>
      <c r="C6" s="12" t="n">
        <v>400</v>
      </c>
      <c r="D6" s="12" t="n">
        <f aca="false">C6*12</f>
        <v>4800</v>
      </c>
      <c r="E6" s="2"/>
      <c r="F6" s="5" t="s">
        <v>13</v>
      </c>
      <c r="G6" s="5" t="s">
        <v>4</v>
      </c>
      <c r="H6" s="5" t="s">
        <v>5</v>
      </c>
      <c r="I6" s="6" t="n">
        <v>-5</v>
      </c>
      <c r="J6" s="2"/>
    </row>
    <row r="7" customFormat="false" ht="15" hidden="false" customHeight="false" outlineLevel="0" collapsed="false">
      <c r="A7" s="2"/>
      <c r="B7" s="13" t="s">
        <v>14</v>
      </c>
      <c r="C7" s="14" t="n">
        <v>300</v>
      </c>
      <c r="D7" s="14" t="n">
        <f aca="false">C7*12</f>
        <v>3600</v>
      </c>
      <c r="E7" s="2"/>
      <c r="F7" s="9" t="s">
        <v>15</v>
      </c>
      <c r="G7" s="9" t="s">
        <v>4</v>
      </c>
      <c r="H7" s="9" t="s">
        <v>5</v>
      </c>
      <c r="I7" s="10" t="n">
        <v>-5</v>
      </c>
      <c r="J7" s="2"/>
    </row>
    <row r="8" customFormat="false" ht="15" hidden="false" customHeight="false" outlineLevel="0" collapsed="false">
      <c r="A8" s="2"/>
      <c r="B8" s="11" t="s">
        <v>16</v>
      </c>
      <c r="C8" s="12" t="n">
        <v>250</v>
      </c>
      <c r="D8" s="12" t="n">
        <f aca="false">C8*12</f>
        <v>3000</v>
      </c>
      <c r="E8" s="2"/>
      <c r="F8" s="5" t="s">
        <v>17</v>
      </c>
      <c r="G8" s="5" t="s">
        <v>4</v>
      </c>
      <c r="H8" s="5" t="s">
        <v>5</v>
      </c>
      <c r="I8" s="6" t="n">
        <v>-26</v>
      </c>
      <c r="J8" s="2"/>
    </row>
    <row r="9" customFormat="false" ht="15" hidden="false" customHeight="false" outlineLevel="0" collapsed="false">
      <c r="A9" s="2"/>
      <c r="B9" s="13"/>
      <c r="C9" s="14"/>
      <c r="D9" s="14"/>
      <c r="E9" s="2"/>
      <c r="F9" s="9" t="s">
        <v>18</v>
      </c>
      <c r="G9" s="9" t="s">
        <v>4</v>
      </c>
      <c r="H9" s="9" t="s">
        <v>5</v>
      </c>
      <c r="I9" s="10" t="n">
        <f aca="false">SUM(I2:I8)</f>
        <v>194</v>
      </c>
      <c r="J9" s="2"/>
    </row>
    <row r="10" customFormat="false" ht="15" hidden="false" customHeight="false" outlineLevel="0" collapsed="false">
      <c r="A10" s="2"/>
      <c r="B10" s="11"/>
      <c r="C10" s="12"/>
      <c r="D10" s="12"/>
      <c r="E10" s="2"/>
      <c r="F10" s="5" t="s">
        <v>19</v>
      </c>
      <c r="G10" s="5" t="s">
        <v>4</v>
      </c>
      <c r="H10" s="5" t="s">
        <v>20</v>
      </c>
      <c r="I10" s="6" t="n">
        <f aca="false">I9/12</f>
        <v>16.1666666666667</v>
      </c>
      <c r="J10" s="2"/>
    </row>
    <row r="11" customFormat="false" ht="15" hidden="false" customHeight="false" outlineLevel="0" collapsed="false">
      <c r="A11" s="2"/>
      <c r="B11" s="13"/>
      <c r="C11" s="14"/>
      <c r="D11" s="14" t="n">
        <f aca="false">C11*12</f>
        <v>0</v>
      </c>
      <c r="E11" s="2"/>
      <c r="F11" s="15" t="s">
        <v>21</v>
      </c>
      <c r="G11" s="15" t="s">
        <v>4</v>
      </c>
      <c r="H11" s="15" t="s">
        <v>20</v>
      </c>
      <c r="I11" s="16" t="n">
        <f aca="false">I10*8</f>
        <v>129.333333333333</v>
      </c>
      <c r="J11" s="2"/>
    </row>
    <row r="12" customFormat="false" ht="15.75" hidden="false" customHeight="true" outlineLevel="0" collapsed="false">
      <c r="A12" s="2"/>
      <c r="B12" s="17" t="s">
        <v>22</v>
      </c>
      <c r="C12" s="18" t="n">
        <f aca="false">SUM(C3:C11)</f>
        <v>1900</v>
      </c>
      <c r="D12" s="18" t="n">
        <f aca="false">SUM(D3:D11)</f>
        <v>22800</v>
      </c>
      <c r="E12" s="2"/>
      <c r="F12" s="2"/>
      <c r="G12" s="2"/>
      <c r="H12" s="2"/>
      <c r="I12" s="2"/>
      <c r="J12" s="2"/>
    </row>
    <row r="13" customFormat="false" ht="15.75" hidden="false" customHeight="true" outlineLevel="0" collapsed="false">
      <c r="A13" s="2"/>
      <c r="B13" s="2"/>
      <c r="C13" s="1"/>
      <c r="D13" s="1"/>
      <c r="E13" s="2"/>
      <c r="F13" s="2" t="s">
        <v>23</v>
      </c>
      <c r="G13" s="19" t="n">
        <v>0.05</v>
      </c>
      <c r="H13" s="2"/>
      <c r="I13" s="2"/>
      <c r="J13" s="2"/>
    </row>
    <row r="14" customFormat="false" ht="15" hidden="false" customHeight="false" outlineLevel="0" collapsed="false">
      <c r="A14" s="2"/>
      <c r="B14" s="20" t="s">
        <v>24</v>
      </c>
      <c r="C14" s="21" t="s">
        <v>25</v>
      </c>
      <c r="D14" s="21" t="s">
        <v>2</v>
      </c>
      <c r="E14" s="2"/>
      <c r="F14" s="2" t="s">
        <v>26</v>
      </c>
      <c r="G14" s="19" t="n">
        <v>0.05</v>
      </c>
      <c r="H14" s="2"/>
      <c r="I14" s="2"/>
      <c r="J14" s="2"/>
    </row>
    <row r="15" customFormat="false" ht="15.75" hidden="false" customHeight="true" outlineLevel="0" collapsed="false">
      <c r="A15" s="2"/>
      <c r="B15" s="22" t="n">
        <v>2025</v>
      </c>
      <c r="C15" s="23" t="n">
        <f aca="false">D15/12</f>
        <v>192.75</v>
      </c>
      <c r="D15" s="23" t="n">
        <f aca="false">IF(D12&lt;=12096, 0,
IF(D12&lt;=17443, ROUNDDOWN( ( ( ( (D12-12096) / 10000 ) * 979 ) + 1400 ) * ( (D12-12096)/10000 ),0 ),
IF(D12&lt;=68480, ROUNDDOWN( ( ( ( (D12-17443) / 10000 ) * 223 ) + 2397 ) * ( (D12-17443)/10000 ) + 965.58,0 ),
IF(D12&lt;=277825, ROUNDDOWN( 0.42*D12-9972.48,0 ),
ROUNDDOWN(0.45*D12-17098.98,0 )))))</f>
        <v>2313</v>
      </c>
      <c r="E15" s="2"/>
      <c r="F15" s="2" t="s">
        <v>27</v>
      </c>
      <c r="G15" s="19" t="n">
        <v>0.1</v>
      </c>
      <c r="H15" s="2"/>
      <c r="I15" s="2"/>
      <c r="J15" s="2"/>
    </row>
    <row r="16" customFormat="false" ht="15.75" hidden="false" customHeight="true" outlineLevel="0" collapsed="false">
      <c r="A16" s="2"/>
      <c r="B16" s="2"/>
      <c r="C16" s="1"/>
      <c r="D16" s="1"/>
      <c r="E16" s="2"/>
      <c r="F16" s="2"/>
      <c r="G16" s="2"/>
      <c r="H16" s="2"/>
      <c r="I16" s="2"/>
      <c r="J16" s="2"/>
    </row>
    <row r="17" customFormat="false" ht="15" hidden="false" customHeight="false" outlineLevel="0" collapsed="false">
      <c r="A17" s="2"/>
      <c r="B17" s="24" t="s">
        <v>28</v>
      </c>
      <c r="C17" s="25" t="s">
        <v>1</v>
      </c>
      <c r="D17" s="25" t="s">
        <v>2</v>
      </c>
      <c r="E17" s="2"/>
      <c r="F17" s="2"/>
      <c r="G17" s="19" t="s">
        <v>1</v>
      </c>
      <c r="H17" s="2" t="s">
        <v>2</v>
      </c>
      <c r="I17" s="2"/>
      <c r="J17" s="2"/>
    </row>
    <row r="18" customFormat="false" ht="15.75" hidden="false" customHeight="true" outlineLevel="0" collapsed="false">
      <c r="A18" s="2"/>
      <c r="B18" s="2" t="s">
        <v>12</v>
      </c>
      <c r="C18" s="1" t="n">
        <v>400</v>
      </c>
      <c r="D18" s="26" t="n">
        <f aca="false">C18*12</f>
        <v>4800</v>
      </c>
      <c r="E18" s="2"/>
      <c r="F18" s="27" t="s">
        <v>29</v>
      </c>
      <c r="G18" s="28" t="n">
        <f aca="false">C12+C15+C36</f>
        <v>5842.75</v>
      </c>
      <c r="H18" s="28" t="n">
        <f aca="false">D12+D15+D36</f>
        <v>70113</v>
      </c>
      <c r="I18" s="2"/>
      <c r="J18" s="2"/>
    </row>
    <row r="19" customFormat="false" ht="15.75" hidden="false" customHeight="true" outlineLevel="0" collapsed="false">
      <c r="A19" s="2"/>
      <c r="B19" s="2" t="s">
        <v>30</v>
      </c>
      <c r="C19" s="1" t="n">
        <v>150</v>
      </c>
      <c r="D19" s="26" t="n">
        <f aca="false">C19*12</f>
        <v>1800</v>
      </c>
      <c r="E19" s="2"/>
      <c r="F19" s="29" t="s">
        <v>23</v>
      </c>
      <c r="G19" s="30" t="n">
        <f aca="false">G18*G13</f>
        <v>292.1375</v>
      </c>
      <c r="H19" s="30" t="n">
        <f aca="false">G19*12</f>
        <v>3505.65</v>
      </c>
      <c r="I19" s="2"/>
      <c r="J19" s="2"/>
    </row>
    <row r="20" customFormat="false" ht="15" hidden="false" customHeight="false" outlineLevel="0" collapsed="false">
      <c r="A20" s="2"/>
      <c r="B20" s="2" t="s">
        <v>31</v>
      </c>
      <c r="C20" s="1" t="n">
        <v>200</v>
      </c>
      <c r="D20" s="26" t="n">
        <f aca="false">C20*12</f>
        <v>2400</v>
      </c>
      <c r="E20" s="2"/>
      <c r="F20" s="31" t="s">
        <v>26</v>
      </c>
      <c r="G20" s="32" t="n">
        <f aca="false">G18*G14</f>
        <v>292.1375</v>
      </c>
      <c r="H20" s="32" t="n">
        <f aca="false">G20*12</f>
        <v>3505.65</v>
      </c>
      <c r="I20" s="2"/>
      <c r="J20" s="2"/>
    </row>
    <row r="21" customFormat="false" ht="15" hidden="false" customHeight="false" outlineLevel="0" collapsed="false">
      <c r="A21" s="2"/>
      <c r="B21" s="2" t="s">
        <v>32</v>
      </c>
      <c r="C21" s="1" t="n">
        <v>2000</v>
      </c>
      <c r="D21" s="26" t="n">
        <f aca="false">C21*12</f>
        <v>24000</v>
      </c>
      <c r="E21" s="2"/>
      <c r="F21" s="33" t="s">
        <v>27</v>
      </c>
      <c r="G21" s="34" t="n">
        <f aca="false">G18*G15</f>
        <v>584.275</v>
      </c>
      <c r="H21" s="34" t="n">
        <f aca="false">G21*12</f>
        <v>7011.3</v>
      </c>
      <c r="I21" s="2"/>
      <c r="J21" s="2"/>
    </row>
    <row r="22" customFormat="false" ht="15.75" hidden="false" customHeight="true" outlineLevel="0" collapsed="false">
      <c r="A22" s="2"/>
      <c r="B22" s="2" t="s">
        <v>33</v>
      </c>
      <c r="C22" s="1" t="n">
        <v>100</v>
      </c>
      <c r="D22" s="26" t="n">
        <f aca="false">C22*12</f>
        <v>1200</v>
      </c>
      <c r="E22" s="2"/>
      <c r="F22" s="35" t="s">
        <v>34</v>
      </c>
      <c r="G22" s="36" t="n">
        <f aca="false">SUM(G18:G21)</f>
        <v>7011.3</v>
      </c>
      <c r="H22" s="36" t="n">
        <f aca="false">SUM(H18:H21)</f>
        <v>84135.6</v>
      </c>
      <c r="I22" s="2"/>
      <c r="J22" s="2"/>
    </row>
    <row r="23" customFormat="false" ht="15.75" hidden="false" customHeight="true" outlineLevel="0" collapsed="false">
      <c r="A23" s="2"/>
      <c r="B23" s="2" t="s">
        <v>35</v>
      </c>
      <c r="C23" s="1" t="n">
        <v>100</v>
      </c>
      <c r="D23" s="26" t="n">
        <f aca="false">C23*12</f>
        <v>1200</v>
      </c>
      <c r="E23" s="2"/>
      <c r="F23" s="2"/>
      <c r="G23" s="2"/>
      <c r="H23" s="2"/>
      <c r="I23" s="2"/>
      <c r="J23" s="2"/>
    </row>
    <row r="24" customFormat="false" ht="15" hidden="false" customHeight="false" outlineLevel="0" collapsed="false">
      <c r="A24" s="2"/>
      <c r="B24" s="2" t="s">
        <v>36</v>
      </c>
      <c r="C24" s="1" t="n">
        <v>100</v>
      </c>
      <c r="D24" s="26" t="n">
        <f aca="false">C24*12</f>
        <v>1200</v>
      </c>
      <c r="E24" s="2"/>
      <c r="F24" s="37"/>
      <c r="G24" s="38" t="s">
        <v>37</v>
      </c>
      <c r="H24" s="39" t="s">
        <v>38</v>
      </c>
      <c r="I24" s="40"/>
      <c r="J24" s="2"/>
    </row>
    <row r="25" customFormat="false" ht="15" hidden="false" customHeight="false" outlineLevel="0" collapsed="false">
      <c r="A25" s="2"/>
      <c r="B25" s="2" t="s">
        <v>39</v>
      </c>
      <c r="C25" s="1" t="n">
        <v>150</v>
      </c>
      <c r="D25" s="26" t="n">
        <f aca="false">C25*12</f>
        <v>1800</v>
      </c>
      <c r="E25" s="2"/>
      <c r="F25" s="41" t="s">
        <v>40</v>
      </c>
      <c r="G25" s="42" t="n">
        <f aca="false">G22/I10</f>
        <v>433.688659793814</v>
      </c>
      <c r="H25" s="43" t="n">
        <f aca="false">G25*1.19</f>
        <v>516.089505154639</v>
      </c>
      <c r="I25" s="40"/>
      <c r="J25" s="2"/>
      <c r="K25" s="44"/>
      <c r="L25" s="44"/>
    </row>
    <row r="26" customFormat="false" ht="15" hidden="false" customHeight="false" outlineLevel="0" collapsed="false">
      <c r="A26" s="2"/>
      <c r="B26" s="2" t="s">
        <v>41</v>
      </c>
      <c r="C26" s="1" t="n">
        <v>250</v>
      </c>
      <c r="D26" s="26" t="n">
        <f aca="false">C26*12</f>
        <v>3000</v>
      </c>
      <c r="E26" s="2"/>
      <c r="F26" s="45" t="s">
        <v>42</v>
      </c>
      <c r="G26" s="46" t="n">
        <f aca="false">G22/I11</f>
        <v>54.2110824742268</v>
      </c>
      <c r="H26" s="47" t="n">
        <f aca="false">G26*1.19</f>
        <v>64.5111881443299</v>
      </c>
      <c r="I26" s="40"/>
      <c r="J26" s="40"/>
    </row>
    <row r="27" customFormat="false" ht="15" hidden="false" customHeight="false" outlineLevel="0" collapsed="false">
      <c r="A27" s="2"/>
      <c r="B27" s="2" t="s">
        <v>43</v>
      </c>
      <c r="C27" s="1" t="n">
        <v>100</v>
      </c>
      <c r="D27" s="26" t="n">
        <f aca="false">C27*12</f>
        <v>1200</v>
      </c>
      <c r="E27" s="2"/>
      <c r="F27" s="41" t="s">
        <v>44</v>
      </c>
      <c r="G27" s="42"/>
      <c r="H27" s="43"/>
      <c r="I27" s="48"/>
      <c r="J27" s="40"/>
    </row>
    <row r="28" customFormat="false" ht="15" hidden="false" customHeight="false" outlineLevel="0" collapsed="false">
      <c r="A28" s="2"/>
      <c r="B28" s="2"/>
      <c r="C28" s="1"/>
      <c r="D28" s="26" t="n">
        <f aca="false">C28*12</f>
        <v>0</v>
      </c>
      <c r="E28" s="2"/>
      <c r="F28" s="49"/>
      <c r="G28" s="50"/>
      <c r="H28" s="51"/>
      <c r="I28" s="48"/>
      <c r="J28" s="40"/>
    </row>
    <row r="29" customFormat="false" ht="15" hidden="false" customHeight="false" outlineLevel="0" collapsed="false">
      <c r="A29" s="2"/>
      <c r="B29" s="2"/>
      <c r="C29" s="1"/>
      <c r="D29" s="26" t="n">
        <f aca="false">C29*12</f>
        <v>0</v>
      </c>
      <c r="E29" s="2"/>
      <c r="F29" s="52"/>
      <c r="I29" s="2"/>
      <c r="J29" s="40"/>
    </row>
    <row r="30" customFormat="false" ht="15" hidden="false" customHeight="false" outlineLevel="0" collapsed="false">
      <c r="A30" s="2"/>
      <c r="B30" s="2" t="s">
        <v>45</v>
      </c>
      <c r="C30" s="1" t="n">
        <v>200</v>
      </c>
      <c r="D30" s="26" t="n">
        <f aca="false">C30*12</f>
        <v>2400</v>
      </c>
      <c r="E30" s="2"/>
      <c r="J30" s="48"/>
    </row>
    <row r="31" customFormat="false" ht="15" hidden="false" customHeight="false" outlineLevel="0" collapsed="false">
      <c r="B31" s="2"/>
      <c r="C31" s="1"/>
      <c r="D31" s="1"/>
    </row>
    <row r="32" customFormat="false" ht="15" hidden="false" customHeight="false" outlineLevel="0" collapsed="false">
      <c r="B32" s="2"/>
      <c r="C32" s="2"/>
      <c r="D32" s="1"/>
    </row>
    <row r="33" customFormat="false" ht="15" hidden="false" customHeight="false" outlineLevel="0" collapsed="false">
      <c r="B33" s="2"/>
      <c r="C33" s="2"/>
      <c r="D33" s="1"/>
    </row>
    <row r="34" customFormat="false" ht="15" hidden="false" customHeight="false" outlineLevel="0" collapsed="false">
      <c r="B34" s="2"/>
      <c r="C34" s="2"/>
      <c r="D34" s="1" t="n">
        <f aca="false">C34*12</f>
        <v>0</v>
      </c>
    </row>
    <row r="35" customFormat="false" ht="15" hidden="false" customHeight="false" outlineLevel="0" collapsed="false">
      <c r="B35" s="2"/>
      <c r="C35" s="2"/>
      <c r="D35" s="1" t="n">
        <f aca="false">C35*12</f>
        <v>0</v>
      </c>
    </row>
    <row r="36" customFormat="false" ht="15" hidden="false" customHeight="false" outlineLevel="0" collapsed="false">
      <c r="B36" s="2" t="s">
        <v>22</v>
      </c>
      <c r="C36" s="1" t="n">
        <f aca="false">SUM(C18:C35)</f>
        <v>3750</v>
      </c>
      <c r="D36" s="1" t="n">
        <f aca="false">SUM(D18:D35)</f>
        <v>45000</v>
      </c>
    </row>
    <row r="37" customFormat="false" ht="15" hidden="false" customHeight="false" outlineLevel="0" collapsed="false">
      <c r="B37" s="2"/>
      <c r="C37" s="1"/>
      <c r="D37" s="1"/>
    </row>
    <row r="38" customFormat="false" ht="15" hidden="false" customHeight="false" outlineLevel="0" collapsed="false">
      <c r="B38" s="52"/>
    </row>
    <row r="43" customFormat="false" ht="15" hidden="false" customHeight="false" outlineLevel="0" collapsed="false">
      <c r="B43" s="53"/>
      <c r="C43" s="54"/>
      <c r="D43" s="54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9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  <col collapsed="false" customWidth="true" hidden="false" outlineLevel="0" max="5" min="5" style="0" width="3"/>
    <col collapsed="false" customWidth="true" hidden="false" outlineLevel="0" max="6" min="6" style="0" width="28"/>
    <col collapsed="false" customWidth="true" hidden="false" outlineLevel="0" max="9" min="7" style="0" width="14"/>
  </cols>
  <sheetData>
    <row r="1" customFormat="false" ht="15" hidden="false" customHeight="false" outlineLevel="0" collapsed="false">
      <c r="A1" s="55" t="s">
        <v>46</v>
      </c>
      <c r="B1" s="55" t="s">
        <v>1</v>
      </c>
      <c r="C1" s="55" t="s">
        <v>2</v>
      </c>
    </row>
    <row r="2" customFormat="false" ht="15" hidden="false" customHeight="false" outlineLevel="0" collapsed="false">
      <c r="A2" s="56" t="s">
        <v>6</v>
      </c>
      <c r="B2" s="57" t="n">
        <v>250</v>
      </c>
      <c r="C2" s="58" t="n">
        <f aca="false">B2*12</f>
        <v>3000</v>
      </c>
    </row>
    <row r="3" customFormat="false" ht="15" hidden="false" customHeight="false" outlineLevel="0" collapsed="false">
      <c r="A3" s="59" t="s">
        <v>47</v>
      </c>
      <c r="B3" s="60" t="n">
        <v>400</v>
      </c>
      <c r="C3" s="61" t="n">
        <f aca="false">B3*12</f>
        <v>4800</v>
      </c>
    </row>
    <row r="4" customFormat="false" ht="15" hidden="false" customHeight="false" outlineLevel="0" collapsed="false">
      <c r="A4" s="56" t="s">
        <v>48</v>
      </c>
      <c r="B4" s="57" t="n">
        <v>300</v>
      </c>
      <c r="C4" s="58" t="n">
        <f aca="false">B4*12</f>
        <v>3600</v>
      </c>
    </row>
    <row r="5" customFormat="false" ht="15" hidden="false" customHeight="false" outlineLevel="0" collapsed="false">
      <c r="A5" s="59" t="s">
        <v>49</v>
      </c>
      <c r="B5" s="60" t="n">
        <v>400</v>
      </c>
      <c r="C5" s="61" t="n">
        <f aca="false">B5*12</f>
        <v>4800</v>
      </c>
    </row>
    <row r="6" customFormat="false" ht="15" hidden="false" customHeight="false" outlineLevel="0" collapsed="false">
      <c r="A6" s="56" t="s">
        <v>14</v>
      </c>
      <c r="B6" s="57" t="n">
        <v>300</v>
      </c>
      <c r="C6" s="58" t="n">
        <f aca="false">B6*12</f>
        <v>3600</v>
      </c>
    </row>
    <row r="7" customFormat="false" ht="15" hidden="false" customHeight="false" outlineLevel="0" collapsed="false">
      <c r="A7" s="59" t="s">
        <v>16</v>
      </c>
      <c r="B7" s="60" t="n">
        <v>250</v>
      </c>
      <c r="C7" s="61" t="n">
        <f aca="false">B7*12</f>
        <v>3000</v>
      </c>
    </row>
    <row r="8" customFormat="false" ht="15" hidden="false" customHeight="false" outlineLevel="0" collapsed="false">
      <c r="A8" s="62" t="s">
        <v>50</v>
      </c>
      <c r="B8" s="63" t="n">
        <f aca="false">SUM(B2:B7)</f>
        <v>1900</v>
      </c>
      <c r="C8" s="63" t="n">
        <f aca="false">SUM(C2:C7)</f>
        <v>22800</v>
      </c>
    </row>
    <row r="9" customFormat="false" ht="15" hidden="false" customHeight="false" outlineLevel="0" collapsed="false">
      <c r="A9" s="56" t="s">
        <v>51</v>
      </c>
      <c r="B9" s="58" t="n">
        <f aca="false">C9/12</f>
        <v>192.75</v>
      </c>
      <c r="C9" s="58" t="n">
        <f aca="false">IF(C8&lt;=12096,0,IF(C8&lt;=17443,ROUNDDOWN((((C8-12096)/10000)*979+1400)*((C8-12096)/10000),0),IF(C8&lt;=68480,ROUNDDOWN((((C8-17443)/10000)*223+2397)*((C8-17443)/10000)+965.58,0),IF(C8&lt;=277825,ROUNDDOWN(0.42*C8-9972.48,0),ROUNDDOWN(0.45*C8-17098.98,0)))))</f>
        <v>2313</v>
      </c>
    </row>
    <row r="11" customFormat="false" ht="15" hidden="false" customHeight="false" outlineLevel="0" collapsed="false">
      <c r="A11" s="55" t="s">
        <v>52</v>
      </c>
      <c r="B11" s="55" t="s">
        <v>1</v>
      </c>
      <c r="C11" s="55" t="s">
        <v>2</v>
      </c>
    </row>
    <row r="12" customFormat="false" ht="15" hidden="false" customHeight="false" outlineLevel="0" collapsed="false">
      <c r="A12" s="56" t="s">
        <v>6</v>
      </c>
      <c r="B12" s="57" t="n">
        <v>250</v>
      </c>
      <c r="C12" s="58" t="n">
        <f aca="false">B12*12</f>
        <v>3000</v>
      </c>
    </row>
    <row r="13" customFormat="false" ht="15" hidden="false" customHeight="false" outlineLevel="0" collapsed="false">
      <c r="A13" s="59" t="s">
        <v>47</v>
      </c>
      <c r="B13" s="60" t="n">
        <v>400</v>
      </c>
      <c r="C13" s="61" t="n">
        <f aca="false">B13*12</f>
        <v>4800</v>
      </c>
    </row>
    <row r="14" customFormat="false" ht="15" hidden="false" customHeight="false" outlineLevel="0" collapsed="false">
      <c r="A14" s="56" t="s">
        <v>48</v>
      </c>
      <c r="B14" s="57" t="n">
        <v>300</v>
      </c>
      <c r="C14" s="58" t="n">
        <f aca="false">B14*12</f>
        <v>3600</v>
      </c>
    </row>
    <row r="15" customFormat="false" ht="15" hidden="false" customHeight="false" outlineLevel="0" collapsed="false">
      <c r="A15" s="59" t="s">
        <v>49</v>
      </c>
      <c r="B15" s="60" t="n">
        <v>400</v>
      </c>
      <c r="C15" s="61" t="n">
        <f aca="false">B15*12</f>
        <v>4800</v>
      </c>
    </row>
    <row r="16" customFormat="false" ht="15" hidden="false" customHeight="false" outlineLevel="0" collapsed="false">
      <c r="A16" s="56" t="s">
        <v>14</v>
      </c>
      <c r="B16" s="57" t="n">
        <v>300</v>
      </c>
      <c r="C16" s="58" t="n">
        <f aca="false">B16*12</f>
        <v>3600</v>
      </c>
    </row>
    <row r="17" customFormat="false" ht="15" hidden="false" customHeight="false" outlineLevel="0" collapsed="false">
      <c r="A17" s="59" t="s">
        <v>16</v>
      </c>
      <c r="B17" s="60" t="n">
        <v>250</v>
      </c>
      <c r="C17" s="61" t="n">
        <f aca="false">B17*12</f>
        <v>3000</v>
      </c>
    </row>
    <row r="18" customFormat="false" ht="15" hidden="false" customHeight="false" outlineLevel="0" collapsed="false">
      <c r="A18" s="62" t="s">
        <v>53</v>
      </c>
      <c r="B18" s="63" t="n">
        <f aca="false">SUM(B12:B17)</f>
        <v>1900</v>
      </c>
      <c r="C18" s="63" t="n">
        <f aca="false">SUM(C12:C17)</f>
        <v>22800</v>
      </c>
    </row>
    <row r="19" customFormat="false" ht="15" hidden="false" customHeight="false" outlineLevel="0" collapsed="false">
      <c r="A19" s="56" t="s">
        <v>54</v>
      </c>
      <c r="B19" s="58" t="n">
        <f aca="false">C19/12</f>
        <v>192.75</v>
      </c>
      <c r="C19" s="58" t="n">
        <f aca="false">IF(C18&lt;=12096,0,IF(C18&lt;=17443,ROUNDDOWN((((C18-12096)/10000)*979+1400)*((C18-12096)/10000),0),IF(C18&lt;=68480,ROUNDDOWN((((C18-17443)/10000)*223+2397)*((C18-17443)/10000)+965.58,0),IF(C18&lt;=277825,ROUNDDOWN(0.42*C18-9972.48,0),ROUNDDOWN(0.45*C18-17098.98,0)))))</f>
        <v>2313</v>
      </c>
    </row>
    <row r="21" customFormat="false" ht="15" hidden="false" customHeight="false" outlineLevel="0" collapsed="false">
      <c r="A21" s="55" t="s">
        <v>55</v>
      </c>
      <c r="B21" s="55" t="s">
        <v>1</v>
      </c>
      <c r="C21" s="55" t="s">
        <v>2</v>
      </c>
    </row>
    <row r="22" customFormat="false" ht="15" hidden="false" customHeight="false" outlineLevel="0" collapsed="false">
      <c r="A22" s="56" t="s">
        <v>56</v>
      </c>
      <c r="B22" s="57" t="n">
        <v>400</v>
      </c>
      <c r="C22" s="58" t="n">
        <f aca="false">B22*12</f>
        <v>4800</v>
      </c>
    </row>
    <row r="23" customFormat="false" ht="15" hidden="false" customHeight="false" outlineLevel="0" collapsed="false">
      <c r="A23" s="59" t="s">
        <v>30</v>
      </c>
      <c r="B23" s="60" t="n">
        <v>150</v>
      </c>
      <c r="C23" s="61" t="n">
        <f aca="false">B23*12</f>
        <v>1800</v>
      </c>
    </row>
    <row r="24" customFormat="false" ht="15" hidden="false" customHeight="false" outlineLevel="0" collapsed="false">
      <c r="A24" s="56" t="s">
        <v>31</v>
      </c>
      <c r="B24" s="57" t="n">
        <v>200</v>
      </c>
      <c r="C24" s="58" t="n">
        <f aca="false">B24*12</f>
        <v>2400</v>
      </c>
    </row>
    <row r="25" customFormat="false" ht="15" hidden="false" customHeight="false" outlineLevel="0" collapsed="false">
      <c r="A25" s="59" t="s">
        <v>57</v>
      </c>
      <c r="B25" s="60" t="n">
        <v>2000</v>
      </c>
      <c r="C25" s="61" t="n">
        <f aca="false">B25*12</f>
        <v>24000</v>
      </c>
    </row>
    <row r="26" customFormat="false" ht="15" hidden="false" customHeight="false" outlineLevel="0" collapsed="false">
      <c r="A26" s="56" t="s">
        <v>33</v>
      </c>
      <c r="B26" s="57" t="n">
        <v>100</v>
      </c>
      <c r="C26" s="58" t="n">
        <f aca="false">B26*12</f>
        <v>1200</v>
      </c>
    </row>
    <row r="27" customFormat="false" ht="15" hidden="false" customHeight="false" outlineLevel="0" collapsed="false">
      <c r="A27" s="59" t="s">
        <v>35</v>
      </c>
      <c r="B27" s="60" t="n">
        <v>100</v>
      </c>
      <c r="C27" s="61" t="n">
        <f aca="false">B27*12</f>
        <v>1200</v>
      </c>
    </row>
    <row r="28" customFormat="false" ht="15" hidden="false" customHeight="false" outlineLevel="0" collapsed="false">
      <c r="A28" s="56" t="s">
        <v>36</v>
      </c>
      <c r="B28" s="57" t="n">
        <v>100</v>
      </c>
      <c r="C28" s="58" t="n">
        <f aca="false">B28*12</f>
        <v>1200</v>
      </c>
    </row>
    <row r="29" customFormat="false" ht="15" hidden="false" customHeight="false" outlineLevel="0" collapsed="false">
      <c r="A29" s="59" t="s">
        <v>58</v>
      </c>
      <c r="B29" s="60" t="n">
        <v>150</v>
      </c>
      <c r="C29" s="61" t="n">
        <f aca="false">B29*12</f>
        <v>1800</v>
      </c>
    </row>
    <row r="30" customFormat="false" ht="15" hidden="false" customHeight="false" outlineLevel="0" collapsed="false">
      <c r="A30" s="56" t="s">
        <v>59</v>
      </c>
      <c r="B30" s="57" t="n">
        <v>250</v>
      </c>
      <c r="C30" s="58" t="n">
        <f aca="false">B30*12</f>
        <v>3000</v>
      </c>
    </row>
    <row r="31" customFormat="false" ht="15" hidden="false" customHeight="false" outlineLevel="0" collapsed="false">
      <c r="A31" s="59" t="s">
        <v>60</v>
      </c>
      <c r="B31" s="60" t="n">
        <v>100</v>
      </c>
      <c r="C31" s="61" t="n">
        <f aca="false">B31*12</f>
        <v>1200</v>
      </c>
    </row>
    <row r="32" customFormat="false" ht="15" hidden="false" customHeight="false" outlineLevel="0" collapsed="false">
      <c r="A32" s="56" t="s">
        <v>61</v>
      </c>
      <c r="B32" s="57" t="n">
        <v>50</v>
      </c>
      <c r="C32" s="58" t="n">
        <f aca="false">B32*12</f>
        <v>600</v>
      </c>
    </row>
    <row r="33" customFormat="false" ht="15" hidden="false" customHeight="false" outlineLevel="0" collapsed="false">
      <c r="A33" s="59" t="s">
        <v>45</v>
      </c>
      <c r="B33" s="60" t="n">
        <v>200</v>
      </c>
      <c r="C33" s="61" t="n">
        <f aca="false">B33*12</f>
        <v>2400</v>
      </c>
    </row>
    <row r="34" customFormat="false" ht="15" hidden="false" customHeight="false" outlineLevel="0" collapsed="false">
      <c r="A34" s="62" t="s">
        <v>62</v>
      </c>
      <c r="B34" s="63" t="n">
        <f aca="false">SUM(B22:B33)</f>
        <v>3800</v>
      </c>
      <c r="C34" s="63" t="n">
        <f aca="false">SUM(C22:C33)</f>
        <v>45600</v>
      </c>
    </row>
    <row r="36" customFormat="false" ht="15" hidden="false" customHeight="false" outlineLevel="0" collapsed="false">
      <c r="A36" s="55" t="s">
        <v>63</v>
      </c>
      <c r="B36" s="55" t="s">
        <v>1</v>
      </c>
      <c r="C36" s="55" t="s">
        <v>2</v>
      </c>
      <c r="F36" s="55" t="s">
        <v>64</v>
      </c>
      <c r="G36" s="55"/>
      <c r="H36" s="55" t="s">
        <v>65</v>
      </c>
    </row>
    <row r="37" customFormat="false" ht="15" hidden="false" customHeight="false" outlineLevel="0" collapsed="false">
      <c r="A37" s="59" t="s">
        <v>66</v>
      </c>
      <c r="B37" s="61" t="n">
        <f aca="false">B8+B9</f>
        <v>2092.75</v>
      </c>
      <c r="C37" s="61" t="n">
        <f aca="false">C8+C9</f>
        <v>25113</v>
      </c>
      <c r="F37" s="56" t="s">
        <v>67</v>
      </c>
      <c r="G37" s="56"/>
      <c r="H37" s="64" t="n">
        <v>0.05</v>
      </c>
    </row>
    <row r="38" customFormat="false" ht="15" hidden="false" customHeight="false" outlineLevel="0" collapsed="false">
      <c r="A38" s="56" t="s">
        <v>68</v>
      </c>
      <c r="B38" s="58" t="n">
        <f aca="false">B18+B19</f>
        <v>2092.75</v>
      </c>
      <c r="C38" s="58" t="n">
        <f aca="false">C18+C19</f>
        <v>25113</v>
      </c>
      <c r="F38" s="59" t="s">
        <v>69</v>
      </c>
      <c r="G38" s="59"/>
      <c r="H38" s="65" t="n">
        <v>0.05</v>
      </c>
    </row>
    <row r="39" customFormat="false" ht="15" hidden="false" customHeight="false" outlineLevel="0" collapsed="false">
      <c r="A39" s="59" t="s">
        <v>70</v>
      </c>
      <c r="B39" s="61" t="n">
        <f aca="false">B34</f>
        <v>3800</v>
      </c>
      <c r="C39" s="61" t="n">
        <f aca="false">C34</f>
        <v>45600</v>
      </c>
      <c r="F39" s="56" t="s">
        <v>27</v>
      </c>
      <c r="G39" s="56"/>
      <c r="H39" s="64" t="n">
        <v>0.1</v>
      </c>
    </row>
    <row r="40" customFormat="false" ht="15" hidden="false" customHeight="false" outlineLevel="0" collapsed="false">
      <c r="A40" s="56" t="s">
        <v>71</v>
      </c>
      <c r="B40" s="58" t="n">
        <f aca="false">SUM(B37:B39)</f>
        <v>7985.5</v>
      </c>
      <c r="C40" s="58" t="n">
        <f aca="false">SUM(C37:C39)</f>
        <v>95826</v>
      </c>
    </row>
    <row r="41" customFormat="false" ht="15" hidden="false" customHeight="false" outlineLevel="0" collapsed="false">
      <c r="A41" s="56" t="s">
        <v>72</v>
      </c>
      <c r="B41" s="58" t="n">
        <f aca="false">B40*H37</f>
        <v>399.275</v>
      </c>
      <c r="C41" s="58" t="n">
        <f aca="false">C40*H37</f>
        <v>4791.3</v>
      </c>
    </row>
    <row r="42" customFormat="false" ht="15" hidden="false" customHeight="false" outlineLevel="0" collapsed="false">
      <c r="A42" s="59" t="s">
        <v>73</v>
      </c>
      <c r="B42" s="61" t="n">
        <f aca="false">B40*H38</f>
        <v>399.275</v>
      </c>
      <c r="C42" s="61" t="n">
        <f aca="false">C40*H38</f>
        <v>4791.3</v>
      </c>
    </row>
    <row r="43" customFormat="false" ht="15" hidden="false" customHeight="false" outlineLevel="0" collapsed="false">
      <c r="A43" s="56" t="s">
        <v>74</v>
      </c>
      <c r="B43" s="58" t="n">
        <f aca="false">B40*H39</f>
        <v>798.55</v>
      </c>
      <c r="C43" s="58" t="n">
        <f aca="false">C40*H39</f>
        <v>9582.6</v>
      </c>
    </row>
    <row r="45" customFormat="false" ht="15" hidden="false" customHeight="false" outlineLevel="0" collapsed="false">
      <c r="A45" s="66" t="s">
        <v>75</v>
      </c>
      <c r="B45" s="67" t="n">
        <f aca="false">SUM(B40:B43)</f>
        <v>9582.6</v>
      </c>
      <c r="C45" s="67" t="n">
        <f aca="false">SUM(C40:C43)</f>
        <v>114991.2</v>
      </c>
    </row>
    <row r="46" customFormat="false" ht="15" hidden="false" customHeight="false" outlineLevel="0" collapsed="false">
      <c r="A46" s="68" t="s">
        <v>76</v>
      </c>
      <c r="B46" s="69" t="n">
        <f aca="false">B45*1.19</f>
        <v>11403.294</v>
      </c>
      <c r="C46" s="69" t="n">
        <f aca="false">C45*1.19</f>
        <v>136839.528</v>
      </c>
    </row>
    <row r="48" customFormat="false" ht="15" hidden="false" customHeight="false" outlineLevel="0" collapsed="false">
      <c r="A48" s="56" t="s">
        <v>77</v>
      </c>
      <c r="B48" s="58" t="n">
        <f aca="false">B45/2</f>
        <v>4791.3</v>
      </c>
      <c r="C48" s="58" t="n">
        <f aca="false">C45/2</f>
        <v>57495.6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6"/>
    <col collapsed="false" customWidth="true" hidden="false" outlineLevel="0" max="5" min="5" style="0" width="3"/>
    <col collapsed="false" customWidth="true" hidden="false" outlineLevel="0" max="6" min="6" style="0" width="32"/>
    <col collapsed="false" customWidth="true" hidden="false" outlineLevel="0" max="8" min="7" style="0" width="16"/>
  </cols>
  <sheetData>
    <row r="1" customFormat="false" ht="15" hidden="false" customHeight="false" outlineLevel="0" collapsed="false">
      <c r="A1" s="55" t="s">
        <v>78</v>
      </c>
      <c r="B1" s="55"/>
      <c r="C1" s="55" t="s">
        <v>79</v>
      </c>
      <c r="F1" s="55" t="s">
        <v>80</v>
      </c>
      <c r="G1" s="55"/>
      <c r="H1" s="55"/>
    </row>
    <row r="2" customFormat="false" ht="15" hidden="false" customHeight="false" outlineLevel="0" collapsed="false">
      <c r="A2" s="56" t="s">
        <v>81</v>
      </c>
      <c r="B2" s="56"/>
      <c r="C2" s="70" t="n">
        <v>4.5</v>
      </c>
      <c r="F2" s="56" t="s">
        <v>82</v>
      </c>
      <c r="G2" s="56"/>
      <c r="H2" s="71" t="n">
        <f aca="false">10000*C3</f>
        <v>500</v>
      </c>
    </row>
    <row r="3" customFormat="false" ht="15" hidden="false" customHeight="false" outlineLevel="0" collapsed="false">
      <c r="A3" s="59" t="s">
        <v>83</v>
      </c>
      <c r="B3" s="59"/>
      <c r="C3" s="72" t="n">
        <v>0.05</v>
      </c>
      <c r="F3" s="59" t="s">
        <v>84</v>
      </c>
      <c r="G3" s="59"/>
      <c r="H3" s="73" t="n">
        <f aca="false">10000*(1-C3)</f>
        <v>9500</v>
      </c>
    </row>
    <row r="4" customFormat="false" ht="15" hidden="false" customHeight="false" outlineLevel="0" collapsed="false">
      <c r="A4" s="56" t="s">
        <v>85</v>
      </c>
      <c r="B4" s="56"/>
      <c r="C4" s="74" t="n">
        <v>0.03</v>
      </c>
    </row>
    <row r="5" customFormat="false" ht="15" hidden="false" customHeight="false" outlineLevel="0" collapsed="false">
      <c r="A5" s="59" t="s">
        <v>86</v>
      </c>
      <c r="B5" s="59"/>
      <c r="C5" s="75" t="n">
        <v>0.08</v>
      </c>
      <c r="F5" s="56" t="s">
        <v>87</v>
      </c>
      <c r="G5" s="56"/>
      <c r="H5" s="58" t="n">
        <f aca="false">H2*C2</f>
        <v>2250</v>
      </c>
    </row>
    <row r="6" customFormat="false" ht="15" hidden="false" customHeight="false" outlineLevel="0" collapsed="false">
      <c r="A6" s="56" t="s">
        <v>88</v>
      </c>
      <c r="B6" s="56"/>
      <c r="C6" s="76" t="n">
        <v>12</v>
      </c>
      <c r="F6" s="59" t="s">
        <v>89</v>
      </c>
      <c r="G6" s="59"/>
      <c r="H6" s="61" t="n">
        <f aca="false">H3*C5*C6</f>
        <v>9120</v>
      </c>
    </row>
    <row r="7" customFormat="false" ht="15" hidden="false" customHeight="false" outlineLevel="0" collapsed="false">
      <c r="A7" s="59" t="s">
        <v>90</v>
      </c>
      <c r="B7" s="59"/>
      <c r="C7" s="75" t="n">
        <v>3.5</v>
      </c>
      <c r="F7" s="56" t="s">
        <v>91</v>
      </c>
      <c r="G7" s="56"/>
      <c r="H7" s="58" t="n">
        <f aca="false">H3*C7*C8/1000</f>
        <v>1995</v>
      </c>
    </row>
    <row r="8" customFormat="false" ht="15" hidden="false" customHeight="false" outlineLevel="0" collapsed="false">
      <c r="A8" s="56" t="s">
        <v>92</v>
      </c>
      <c r="B8" s="56"/>
      <c r="C8" s="76" t="n">
        <v>60</v>
      </c>
      <c r="F8" s="59" t="s">
        <v>93</v>
      </c>
      <c r="G8" s="59"/>
      <c r="H8" s="61" t="n">
        <f aca="false">C9*C10</f>
        <v>0</v>
      </c>
    </row>
    <row r="9" customFormat="false" ht="15" hidden="false" customHeight="false" outlineLevel="0" collapsed="false">
      <c r="A9" s="59" t="s">
        <v>94</v>
      </c>
      <c r="B9" s="59"/>
      <c r="C9" s="75" t="n">
        <v>500</v>
      </c>
    </row>
    <row r="10" customFormat="false" ht="15" hidden="false" customHeight="false" outlineLevel="0" collapsed="false">
      <c r="A10" s="56" t="s">
        <v>95</v>
      </c>
      <c r="B10" s="56"/>
      <c r="C10" s="76" t="n">
        <v>0</v>
      </c>
      <c r="F10" s="66" t="s">
        <v>96</v>
      </c>
      <c r="G10" s="66"/>
      <c r="H10" s="67" t="n">
        <f aca="false">SUM(H5:H8)</f>
        <v>13365</v>
      </c>
    </row>
    <row r="13" customFormat="false" ht="15" hidden="false" customHeight="false" outlineLevel="0" collapsed="false">
      <c r="A13" s="55" t="s">
        <v>97</v>
      </c>
      <c r="B13" s="55"/>
      <c r="C13" s="55"/>
    </row>
    <row r="14" customFormat="false" ht="15" hidden="false" customHeight="false" outlineLevel="0" collapsed="false">
      <c r="A14" s="56" t="s">
        <v>98</v>
      </c>
      <c r="B14" s="56"/>
      <c r="C14" s="77" t="n">
        <f aca="false">C2</f>
        <v>4.5</v>
      </c>
    </row>
    <row r="15" customFormat="false" ht="15" hidden="false" customHeight="false" outlineLevel="0" collapsed="false">
      <c r="A15" s="59" t="s">
        <v>99</v>
      </c>
      <c r="B15" s="59"/>
      <c r="C15" s="78" t="n">
        <f aca="false">C5*C6</f>
        <v>0.96</v>
      </c>
    </row>
    <row r="16" customFormat="false" ht="15" hidden="false" customHeight="false" outlineLevel="0" collapsed="false">
      <c r="A16" s="56" t="s">
        <v>100</v>
      </c>
      <c r="B16" s="56"/>
      <c r="C16" s="77" t="n">
        <f aca="false">C8/1000*C7</f>
        <v>0.21</v>
      </c>
    </row>
    <row r="17" customFormat="false" ht="15" hidden="false" customHeight="false" outlineLevel="0" collapsed="false">
      <c r="A17" s="59" t="s">
        <v>101</v>
      </c>
      <c r="B17" s="59"/>
      <c r="C17" s="78" t="n">
        <f aca="false">C3*C14 + (1-C3)*(C15+C16)</f>
        <v>1.3365</v>
      </c>
    </row>
    <row r="19" customFormat="false" ht="15" hidden="false" customHeight="false" outlineLevel="0" collapsed="false">
      <c r="A19" s="55" t="s">
        <v>102</v>
      </c>
      <c r="B19" s="55"/>
      <c r="C19" s="55"/>
    </row>
    <row r="20" customFormat="false" ht="15" hidden="false" customHeight="false" outlineLevel="0" collapsed="false">
      <c r="A20" s="56" t="s">
        <v>103</v>
      </c>
      <c r="B20" s="56"/>
      <c r="C20" s="58" t="n">
        <f aca="false">'2 Gründer'!B45/2</f>
        <v>4791.3</v>
      </c>
    </row>
    <row r="21" customFormat="false" ht="15" hidden="false" customHeight="false" outlineLevel="0" collapsed="false">
      <c r="A21" s="59" t="s">
        <v>104</v>
      </c>
      <c r="B21" s="59"/>
      <c r="C21" s="61" t="n">
        <f aca="false">'2 Gründer'!B45</f>
        <v>9582.6</v>
      </c>
    </row>
    <row r="23" customFormat="false" ht="15" hidden="false" customHeight="false" outlineLevel="0" collapsed="false">
      <c r="A23" s="66" t="s">
        <v>105</v>
      </c>
      <c r="B23" s="66"/>
      <c r="C23" s="79" t="n">
        <f aca="false">ROUNDUP(C20/C17,0)</f>
        <v>3585</v>
      </c>
    </row>
    <row r="24" customFormat="false" ht="15" hidden="false" customHeight="false" outlineLevel="0" collapsed="false">
      <c r="A24" s="68" t="s">
        <v>106</v>
      </c>
      <c r="B24" s="68"/>
      <c r="C24" s="80" t="n">
        <f aca="false">ROUNDUP(C21/C17,0)</f>
        <v>7170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11" min="7" style="0" width="16"/>
    <col collapsed="false" customWidth="true" hidden="false" outlineLevel="0" max="12" min="12" style="0" width="14"/>
    <col collapsed="false" customWidth="true" hidden="false" outlineLevel="0" max="14" min="13" style="0" width="16"/>
  </cols>
  <sheetData>
    <row r="1" customFormat="false" ht="26.85" hidden="false" customHeight="false" outlineLevel="0" collapsed="false">
      <c r="A1" s="81" t="s">
        <v>20</v>
      </c>
      <c r="B1" s="81" t="s">
        <v>107</v>
      </c>
      <c r="C1" s="81" t="s">
        <v>108</v>
      </c>
      <c r="D1" s="81" t="s">
        <v>109</v>
      </c>
      <c r="E1" s="81" t="s">
        <v>110</v>
      </c>
      <c r="F1" s="81" t="s">
        <v>111</v>
      </c>
      <c r="G1" s="81" t="s">
        <v>112</v>
      </c>
      <c r="H1" s="81" t="s">
        <v>113</v>
      </c>
      <c r="I1" s="81" t="s">
        <v>114</v>
      </c>
      <c r="J1" s="81" t="s">
        <v>115</v>
      </c>
      <c r="K1" s="81" t="s">
        <v>116</v>
      </c>
      <c r="L1" s="81" t="s">
        <v>117</v>
      </c>
      <c r="M1" s="81" t="s">
        <v>118</v>
      </c>
      <c r="N1" s="81" t="s">
        <v>119</v>
      </c>
    </row>
    <row r="2" customFormat="false" ht="15" hidden="false" customHeight="false" outlineLevel="0" collapsed="false">
      <c r="A2" s="82"/>
      <c r="B2" s="82" t="s">
        <v>120</v>
      </c>
      <c r="C2" s="82"/>
      <c r="D2" s="82" t="s">
        <v>121</v>
      </c>
      <c r="E2" s="83" t="n">
        <f aca="false">Erlösmodell!C3</f>
        <v>0.05</v>
      </c>
      <c r="F2" s="82"/>
      <c r="G2" s="84" t="n">
        <f aca="false">Erlösmodell!C2</f>
        <v>4.5</v>
      </c>
      <c r="H2" s="82" t="n">
        <f aca="false">Erlösmodell!C5*Erlösmodell!C6</f>
        <v>0.96</v>
      </c>
      <c r="I2" s="82" t="n">
        <f aca="false">Erlösmodell!C7*Erlösmodell!C8/1000</f>
        <v>0.21</v>
      </c>
      <c r="J2" s="82" t="n">
        <f aca="false">Erlösmodell!C9*Erlösmodell!C10</f>
        <v>0</v>
      </c>
      <c r="K2" s="82"/>
      <c r="L2" s="85" t="n">
        <f aca="false">'2 Gründer'!B45</f>
        <v>9582.6</v>
      </c>
      <c r="M2" s="82"/>
      <c r="N2" s="82"/>
    </row>
    <row r="3" customFormat="false" ht="15" hidden="false" customHeight="false" outlineLevel="0" collapsed="false">
      <c r="A3" s="59" t="n">
        <v>1</v>
      </c>
      <c r="B3" s="86" t="n">
        <v>150</v>
      </c>
      <c r="C3" s="86" t="n">
        <f aca="false">B3</f>
        <v>150</v>
      </c>
      <c r="D3" s="86" t="n">
        <f aca="false">ROUND(C3*0.8,0)</f>
        <v>120</v>
      </c>
      <c r="E3" s="86" t="n">
        <f aca="false">ROUND(D3*$E$2,0)</f>
        <v>6</v>
      </c>
      <c r="F3" s="86" t="n">
        <f aca="false">D3-E3</f>
        <v>114</v>
      </c>
      <c r="G3" s="87" t="n">
        <f aca="false">E3*$G$2</f>
        <v>27</v>
      </c>
      <c r="H3" s="87" t="n">
        <f aca="false">F3*$H$2</f>
        <v>109.44</v>
      </c>
      <c r="I3" s="87" t="n">
        <f aca="false">F3*$I$2</f>
        <v>23.94</v>
      </c>
      <c r="J3" s="87" t="n">
        <f aca="false">$J$2</f>
        <v>0</v>
      </c>
      <c r="K3" s="87" t="n">
        <f aca="false">SUM(G3:J3)</f>
        <v>160.38</v>
      </c>
      <c r="L3" s="87" t="n">
        <f aca="false">$L$2</f>
        <v>9582.6</v>
      </c>
      <c r="M3" s="88" t="n">
        <f aca="false">K3-L3</f>
        <v>-9422.22</v>
      </c>
      <c r="N3" s="88" t="n">
        <f aca="false">M3</f>
        <v>-9422.22</v>
      </c>
    </row>
    <row r="4" customFormat="false" ht="15" hidden="false" customHeight="false" outlineLevel="0" collapsed="false">
      <c r="A4" s="56" t="n">
        <v>2</v>
      </c>
      <c r="B4" s="89" t="n">
        <f aca="false">ROUND(B3*(1.3-(2-1)*0.008),0)</f>
        <v>194</v>
      </c>
      <c r="C4" s="89" t="n">
        <f aca="false">ROUND(C3*0.98+B4,0)</f>
        <v>341</v>
      </c>
      <c r="D4" s="89" t="n">
        <f aca="false">ROUND(C4*0.8,0)</f>
        <v>273</v>
      </c>
      <c r="E4" s="89" t="n">
        <f aca="false">ROUND(D4*$E$2,0)</f>
        <v>14</v>
      </c>
      <c r="F4" s="89" t="n">
        <f aca="false">D4-E4</f>
        <v>259</v>
      </c>
      <c r="G4" s="90" t="n">
        <f aca="false">E4*$G$2</f>
        <v>63</v>
      </c>
      <c r="H4" s="90" t="n">
        <f aca="false">F4*$H$2</f>
        <v>248.64</v>
      </c>
      <c r="I4" s="90" t="n">
        <f aca="false">F4*$I$2</f>
        <v>54.39</v>
      </c>
      <c r="J4" s="90" t="n">
        <f aca="false">$J$2</f>
        <v>0</v>
      </c>
      <c r="K4" s="90" t="n">
        <f aca="false">SUM(G4:J4)</f>
        <v>366.03</v>
      </c>
      <c r="L4" s="90" t="n">
        <f aca="false">$L$2</f>
        <v>9582.6</v>
      </c>
      <c r="M4" s="91" t="n">
        <f aca="false">K4-L4</f>
        <v>-9216.57</v>
      </c>
      <c r="N4" s="91" t="n">
        <f aca="false">N3+M4</f>
        <v>-18638.79</v>
      </c>
    </row>
    <row r="5" customFormat="false" ht="15" hidden="false" customHeight="false" outlineLevel="0" collapsed="false">
      <c r="A5" s="59" t="n">
        <v>3</v>
      </c>
      <c r="B5" s="86" t="n">
        <f aca="false">ROUND(B4*(1.3-(3-1)*0.008),0)</f>
        <v>249</v>
      </c>
      <c r="C5" s="86" t="n">
        <f aca="false">ROUND(C4*0.98+B5,0)</f>
        <v>583</v>
      </c>
      <c r="D5" s="86" t="n">
        <f aca="false">ROUND(C5*0.8,0)</f>
        <v>466</v>
      </c>
      <c r="E5" s="86" t="n">
        <f aca="false">ROUND(D5*$E$2,0)</f>
        <v>23</v>
      </c>
      <c r="F5" s="86" t="n">
        <f aca="false">D5-E5</f>
        <v>443</v>
      </c>
      <c r="G5" s="87" t="n">
        <f aca="false">E5*$G$2</f>
        <v>103.5</v>
      </c>
      <c r="H5" s="87" t="n">
        <f aca="false">F5*$H$2</f>
        <v>425.28</v>
      </c>
      <c r="I5" s="87" t="n">
        <f aca="false">F5*$I$2</f>
        <v>93.03</v>
      </c>
      <c r="J5" s="87" t="n">
        <f aca="false">$J$2</f>
        <v>0</v>
      </c>
      <c r="K5" s="87" t="n">
        <f aca="false">SUM(G5:J5)</f>
        <v>621.81</v>
      </c>
      <c r="L5" s="87" t="n">
        <f aca="false">$L$2</f>
        <v>9582.6</v>
      </c>
      <c r="M5" s="88" t="n">
        <f aca="false">K5-L5</f>
        <v>-8960.79</v>
      </c>
      <c r="N5" s="88" t="n">
        <f aca="false">N4+M5</f>
        <v>-27599.58</v>
      </c>
    </row>
    <row r="6" customFormat="false" ht="15" hidden="false" customHeight="false" outlineLevel="0" collapsed="false">
      <c r="A6" s="56" t="n">
        <v>4</v>
      </c>
      <c r="B6" s="89" t="n">
        <f aca="false">ROUND(B5*(1.3-(4-1)*0.008),0)</f>
        <v>318</v>
      </c>
      <c r="C6" s="89" t="n">
        <f aca="false">ROUND(C5*0.98+B6,0)</f>
        <v>889</v>
      </c>
      <c r="D6" s="89" t="n">
        <f aca="false">ROUND(C6*0.8,0)</f>
        <v>711</v>
      </c>
      <c r="E6" s="89" t="n">
        <f aca="false">ROUND(D6*$E$2,0)</f>
        <v>36</v>
      </c>
      <c r="F6" s="89" t="n">
        <f aca="false">D6-E6</f>
        <v>675</v>
      </c>
      <c r="G6" s="90" t="n">
        <f aca="false">E6*$G$2</f>
        <v>162</v>
      </c>
      <c r="H6" s="90" t="n">
        <f aca="false">F6*$H$2</f>
        <v>648</v>
      </c>
      <c r="I6" s="90" t="n">
        <f aca="false">F6*$I$2</f>
        <v>141.75</v>
      </c>
      <c r="J6" s="90" t="n">
        <f aca="false">$J$2</f>
        <v>0</v>
      </c>
      <c r="K6" s="90" t="n">
        <f aca="false">SUM(G6:J6)</f>
        <v>951.75</v>
      </c>
      <c r="L6" s="90" t="n">
        <f aca="false">$L$2</f>
        <v>9582.6</v>
      </c>
      <c r="M6" s="91" t="n">
        <f aca="false">K6-L6</f>
        <v>-8630.85</v>
      </c>
      <c r="N6" s="91" t="n">
        <f aca="false">N5+M6</f>
        <v>-36230.43</v>
      </c>
    </row>
    <row r="7" customFormat="false" ht="15" hidden="false" customHeight="false" outlineLevel="0" collapsed="false">
      <c r="A7" s="59" t="n">
        <v>5</v>
      </c>
      <c r="B7" s="86" t="n">
        <f aca="false">ROUND(B6*(1.3-(5-1)*0.008),0)</f>
        <v>403</v>
      </c>
      <c r="C7" s="86" t="n">
        <f aca="false">ROUND(C6*0.98+B7,0)</f>
        <v>1274</v>
      </c>
      <c r="D7" s="86" t="n">
        <f aca="false">ROUND(C7*0.8,0)</f>
        <v>1019</v>
      </c>
      <c r="E7" s="86" t="n">
        <f aca="false">ROUND(D7*$E$2,0)</f>
        <v>51</v>
      </c>
      <c r="F7" s="86" t="n">
        <f aca="false">D7-E7</f>
        <v>968</v>
      </c>
      <c r="G7" s="87" t="n">
        <f aca="false">E7*$G$2</f>
        <v>229.5</v>
      </c>
      <c r="H7" s="87" t="n">
        <f aca="false">F7*$H$2</f>
        <v>929.28</v>
      </c>
      <c r="I7" s="87" t="n">
        <f aca="false">F7*$I$2</f>
        <v>203.28</v>
      </c>
      <c r="J7" s="87" t="n">
        <f aca="false">$J$2</f>
        <v>0</v>
      </c>
      <c r="K7" s="87" t="n">
        <f aca="false">SUM(G7:J7)</f>
        <v>1362.06</v>
      </c>
      <c r="L7" s="87" t="n">
        <f aca="false">$L$2</f>
        <v>9582.6</v>
      </c>
      <c r="M7" s="88" t="n">
        <f aca="false">K7-L7</f>
        <v>-8220.54</v>
      </c>
      <c r="N7" s="88" t="n">
        <f aca="false">N6+M7</f>
        <v>-44450.97</v>
      </c>
    </row>
    <row r="8" customFormat="false" ht="15" hidden="false" customHeight="false" outlineLevel="0" collapsed="false">
      <c r="A8" s="56" t="n">
        <v>6</v>
      </c>
      <c r="B8" s="89" t="n">
        <f aca="false">ROUND(B7*(1.3-(6-1)*0.008),0)</f>
        <v>508</v>
      </c>
      <c r="C8" s="89" t="n">
        <f aca="false">ROUND(C7*0.98+B8,0)</f>
        <v>1757</v>
      </c>
      <c r="D8" s="89" t="n">
        <f aca="false">ROUND(C8*0.8,0)</f>
        <v>1406</v>
      </c>
      <c r="E8" s="89" t="n">
        <f aca="false">ROUND(D8*$E$2,0)</f>
        <v>70</v>
      </c>
      <c r="F8" s="89" t="n">
        <f aca="false">D8-E8</f>
        <v>1336</v>
      </c>
      <c r="G8" s="90" t="n">
        <f aca="false">E8*$G$2</f>
        <v>315</v>
      </c>
      <c r="H8" s="90" t="n">
        <f aca="false">F8*$H$2</f>
        <v>1282.56</v>
      </c>
      <c r="I8" s="90" t="n">
        <f aca="false">F8*$I$2</f>
        <v>280.56</v>
      </c>
      <c r="J8" s="90" t="n">
        <f aca="false">$J$2</f>
        <v>0</v>
      </c>
      <c r="K8" s="90" t="n">
        <f aca="false">SUM(G8:J8)</f>
        <v>1878.12</v>
      </c>
      <c r="L8" s="90" t="n">
        <f aca="false">$L$2</f>
        <v>9582.6</v>
      </c>
      <c r="M8" s="91" t="n">
        <f aca="false">K8-L8</f>
        <v>-7704.48</v>
      </c>
      <c r="N8" s="91" t="n">
        <f aca="false">N7+M8</f>
        <v>-52155.45</v>
      </c>
    </row>
    <row r="9" customFormat="false" ht="15" hidden="false" customHeight="false" outlineLevel="0" collapsed="false">
      <c r="A9" s="59" t="n">
        <v>7</v>
      </c>
      <c r="B9" s="86" t="n">
        <f aca="false">ROUND(B8*(1.3-(7-1)*0.008),0)</f>
        <v>636</v>
      </c>
      <c r="C9" s="86" t="n">
        <f aca="false">ROUND(C8*0.98+B9,0)</f>
        <v>2358</v>
      </c>
      <c r="D9" s="86" t="n">
        <f aca="false">ROUND(C9*0.8,0)</f>
        <v>1886</v>
      </c>
      <c r="E9" s="86" t="n">
        <f aca="false">ROUND(D9*$E$2,0)</f>
        <v>94</v>
      </c>
      <c r="F9" s="86" t="n">
        <f aca="false">D9-E9</f>
        <v>1792</v>
      </c>
      <c r="G9" s="87" t="n">
        <f aca="false">E9*$G$2</f>
        <v>423</v>
      </c>
      <c r="H9" s="87" t="n">
        <f aca="false">F9*$H$2</f>
        <v>1720.32</v>
      </c>
      <c r="I9" s="87" t="n">
        <f aca="false">F9*$I$2</f>
        <v>376.32</v>
      </c>
      <c r="J9" s="87" t="n">
        <f aca="false">$J$2</f>
        <v>0</v>
      </c>
      <c r="K9" s="87" t="n">
        <f aca="false">SUM(G9:J9)</f>
        <v>2519.64</v>
      </c>
      <c r="L9" s="87" t="n">
        <f aca="false">$L$2</f>
        <v>9582.6</v>
      </c>
      <c r="M9" s="88" t="n">
        <f aca="false">K9-L9</f>
        <v>-7062.96</v>
      </c>
      <c r="N9" s="88" t="n">
        <f aca="false">N8+M9</f>
        <v>-59218.41</v>
      </c>
    </row>
    <row r="10" customFormat="false" ht="15" hidden="false" customHeight="false" outlineLevel="0" collapsed="false">
      <c r="A10" s="56" t="n">
        <v>8</v>
      </c>
      <c r="B10" s="89" t="n">
        <f aca="false">ROUND(B9*(1.3-(8-1)*0.008),0)</f>
        <v>791</v>
      </c>
      <c r="C10" s="89" t="n">
        <f aca="false">ROUND(C9*0.98+B10,0)</f>
        <v>3102</v>
      </c>
      <c r="D10" s="89" t="n">
        <f aca="false">ROUND(C10*0.8,0)</f>
        <v>2482</v>
      </c>
      <c r="E10" s="89" t="n">
        <f aca="false">ROUND(D10*$E$2,0)</f>
        <v>124</v>
      </c>
      <c r="F10" s="89" t="n">
        <f aca="false">D10-E10</f>
        <v>2358</v>
      </c>
      <c r="G10" s="90" t="n">
        <f aca="false">E10*$G$2</f>
        <v>558</v>
      </c>
      <c r="H10" s="90" t="n">
        <f aca="false">F10*$H$2</f>
        <v>2263.68</v>
      </c>
      <c r="I10" s="90" t="n">
        <f aca="false">F10*$I$2</f>
        <v>495.18</v>
      </c>
      <c r="J10" s="90" t="n">
        <f aca="false">$J$2</f>
        <v>0</v>
      </c>
      <c r="K10" s="90" t="n">
        <f aca="false">SUM(G10:J10)</f>
        <v>3316.86</v>
      </c>
      <c r="L10" s="90" t="n">
        <f aca="false">$L$2</f>
        <v>9582.6</v>
      </c>
      <c r="M10" s="91" t="n">
        <f aca="false">K10-L10</f>
        <v>-6265.74</v>
      </c>
      <c r="N10" s="91" t="n">
        <f aca="false">N9+M10</f>
        <v>-65484.15</v>
      </c>
    </row>
    <row r="11" customFormat="false" ht="15" hidden="false" customHeight="false" outlineLevel="0" collapsed="false">
      <c r="A11" s="59" t="n">
        <v>9</v>
      </c>
      <c r="B11" s="86" t="n">
        <f aca="false">ROUND(B10*(1.3-(9-1)*0.008),0)</f>
        <v>978</v>
      </c>
      <c r="C11" s="86" t="n">
        <f aca="false">ROUND(C10*0.98+B11,0)</f>
        <v>4018</v>
      </c>
      <c r="D11" s="86" t="n">
        <f aca="false">ROUND(C11*0.8,0)</f>
        <v>3214</v>
      </c>
      <c r="E11" s="86" t="n">
        <f aca="false">ROUND(D11*$E$2,0)</f>
        <v>161</v>
      </c>
      <c r="F11" s="86" t="n">
        <f aca="false">D11-E11</f>
        <v>3053</v>
      </c>
      <c r="G11" s="87" t="n">
        <f aca="false">E11*$G$2</f>
        <v>724.5</v>
      </c>
      <c r="H11" s="87" t="n">
        <f aca="false">F11*$H$2</f>
        <v>2930.88</v>
      </c>
      <c r="I11" s="87" t="n">
        <f aca="false">F11*$I$2</f>
        <v>641.13</v>
      </c>
      <c r="J11" s="87" t="n">
        <f aca="false">$J$2</f>
        <v>0</v>
      </c>
      <c r="K11" s="87" t="n">
        <f aca="false">SUM(G11:J11)</f>
        <v>4296.51</v>
      </c>
      <c r="L11" s="87" t="n">
        <f aca="false">$L$2</f>
        <v>9582.6</v>
      </c>
      <c r="M11" s="88" t="n">
        <f aca="false">K11-L11</f>
        <v>-5286.09</v>
      </c>
      <c r="N11" s="88" t="n">
        <f aca="false">N10+M11</f>
        <v>-70770.24</v>
      </c>
    </row>
    <row r="12" customFormat="false" ht="15" hidden="false" customHeight="false" outlineLevel="0" collapsed="false">
      <c r="A12" s="56" t="n">
        <v>10</v>
      </c>
      <c r="B12" s="89" t="n">
        <f aca="false">ROUND(B11*(1.3-(10-1)*0.008),0)</f>
        <v>1201</v>
      </c>
      <c r="C12" s="89" t="n">
        <f aca="false">ROUND(C11*0.98+B12,0)</f>
        <v>5139</v>
      </c>
      <c r="D12" s="89" t="n">
        <f aca="false">ROUND(C12*0.8,0)</f>
        <v>4111</v>
      </c>
      <c r="E12" s="89" t="n">
        <f aca="false">ROUND(D12*$E$2,0)</f>
        <v>206</v>
      </c>
      <c r="F12" s="89" t="n">
        <f aca="false">D12-E12</f>
        <v>3905</v>
      </c>
      <c r="G12" s="90" t="n">
        <f aca="false">E12*$G$2</f>
        <v>927</v>
      </c>
      <c r="H12" s="90" t="n">
        <f aca="false">F12*$H$2</f>
        <v>3748.8</v>
      </c>
      <c r="I12" s="90" t="n">
        <f aca="false">F12*$I$2</f>
        <v>820.05</v>
      </c>
      <c r="J12" s="90" t="n">
        <f aca="false">$J$2</f>
        <v>0</v>
      </c>
      <c r="K12" s="90" t="n">
        <f aca="false">SUM(G12:J12)</f>
        <v>5495.85</v>
      </c>
      <c r="L12" s="90" t="n">
        <f aca="false">$L$2</f>
        <v>9582.6</v>
      </c>
      <c r="M12" s="91" t="n">
        <f aca="false">K12-L12</f>
        <v>-4086.75</v>
      </c>
      <c r="N12" s="91" t="n">
        <f aca="false">N11+M12</f>
        <v>-74856.99</v>
      </c>
    </row>
    <row r="13" customFormat="false" ht="15" hidden="false" customHeight="false" outlineLevel="0" collapsed="false">
      <c r="A13" s="59" t="n">
        <v>11</v>
      </c>
      <c r="B13" s="86" t="n">
        <f aca="false">ROUND(B12*(1.3-(11-1)*0.008),0)</f>
        <v>1465</v>
      </c>
      <c r="C13" s="86" t="n">
        <f aca="false">ROUND(C12*0.98+B13,0)</f>
        <v>6501</v>
      </c>
      <c r="D13" s="86" t="n">
        <f aca="false">ROUND(C13*0.8,0)</f>
        <v>5201</v>
      </c>
      <c r="E13" s="86" t="n">
        <f aca="false">ROUND(D13*$E$2,0)</f>
        <v>260</v>
      </c>
      <c r="F13" s="86" t="n">
        <f aca="false">D13-E13</f>
        <v>4941</v>
      </c>
      <c r="G13" s="87" t="n">
        <f aca="false">E13*$G$2</f>
        <v>1170</v>
      </c>
      <c r="H13" s="87" t="n">
        <f aca="false">F13*$H$2</f>
        <v>4743.36</v>
      </c>
      <c r="I13" s="87" t="n">
        <f aca="false">F13*$I$2</f>
        <v>1037.61</v>
      </c>
      <c r="J13" s="87" t="n">
        <f aca="false">$J$2</f>
        <v>0</v>
      </c>
      <c r="K13" s="87" t="n">
        <f aca="false">SUM(G13:J13)</f>
        <v>6950.97</v>
      </c>
      <c r="L13" s="87" t="n">
        <f aca="false">$L$2</f>
        <v>9582.6</v>
      </c>
      <c r="M13" s="88" t="n">
        <f aca="false">K13-L13</f>
        <v>-2631.63</v>
      </c>
      <c r="N13" s="88" t="n">
        <f aca="false">N12+M13</f>
        <v>-77488.62</v>
      </c>
    </row>
    <row r="14" customFormat="false" ht="15" hidden="false" customHeight="false" outlineLevel="0" collapsed="false">
      <c r="A14" s="56" t="n">
        <v>12</v>
      </c>
      <c r="B14" s="89" t="n">
        <f aca="false">ROUND(B13*(1.3-(12-1)*0.008),0)</f>
        <v>1776</v>
      </c>
      <c r="C14" s="89" t="n">
        <f aca="false">ROUND(C13*0.98+B14,0)</f>
        <v>8147</v>
      </c>
      <c r="D14" s="89" t="n">
        <f aca="false">ROUND(C14*0.8,0)</f>
        <v>6518</v>
      </c>
      <c r="E14" s="89" t="n">
        <f aca="false">ROUND(D14*$E$2,0)</f>
        <v>326</v>
      </c>
      <c r="F14" s="89" t="n">
        <f aca="false">D14-E14</f>
        <v>6192</v>
      </c>
      <c r="G14" s="90" t="n">
        <f aca="false">E14*$G$2</f>
        <v>1467</v>
      </c>
      <c r="H14" s="90" t="n">
        <f aca="false">F14*$H$2</f>
        <v>5944.32</v>
      </c>
      <c r="I14" s="90" t="n">
        <f aca="false">F14*$I$2</f>
        <v>1300.32</v>
      </c>
      <c r="J14" s="90" t="n">
        <f aca="false">$J$2</f>
        <v>0</v>
      </c>
      <c r="K14" s="90" t="n">
        <f aca="false">SUM(G14:J14)</f>
        <v>8711.64</v>
      </c>
      <c r="L14" s="90" t="n">
        <f aca="false">$L$2</f>
        <v>9582.6</v>
      </c>
      <c r="M14" s="91" t="n">
        <f aca="false">K14-L14</f>
        <v>-870.959999999999</v>
      </c>
      <c r="N14" s="91" t="n">
        <f aca="false">N13+M14</f>
        <v>-78359.58</v>
      </c>
    </row>
    <row r="15" customFormat="false" ht="15" hidden="false" customHeight="false" outlineLevel="0" collapsed="false">
      <c r="A15" s="59" t="n">
        <v>13</v>
      </c>
      <c r="B15" s="86" t="n">
        <f aca="false">ROUND(B14*(1.3-(13-1)*0.008),0)</f>
        <v>2138</v>
      </c>
      <c r="C15" s="86" t="n">
        <f aca="false">ROUND(C14*0.98+B15,0)</f>
        <v>10122</v>
      </c>
      <c r="D15" s="86" t="n">
        <f aca="false">ROUND(C15*0.8,0)</f>
        <v>8098</v>
      </c>
      <c r="E15" s="86" t="n">
        <f aca="false">ROUND(D15*$E$2,0)</f>
        <v>405</v>
      </c>
      <c r="F15" s="86" t="n">
        <f aca="false">D15-E15</f>
        <v>7693</v>
      </c>
      <c r="G15" s="87" t="n">
        <f aca="false">E15*$G$2</f>
        <v>1822.5</v>
      </c>
      <c r="H15" s="87" t="n">
        <f aca="false">F15*$H$2</f>
        <v>7385.28</v>
      </c>
      <c r="I15" s="87" t="n">
        <f aca="false">F15*$I$2</f>
        <v>1615.53</v>
      </c>
      <c r="J15" s="87" t="n">
        <f aca="false">$J$2</f>
        <v>0</v>
      </c>
      <c r="K15" s="87" t="n">
        <f aca="false">SUM(G15:J15)</f>
        <v>10823.31</v>
      </c>
      <c r="L15" s="87" t="n">
        <f aca="false">$L$2</f>
        <v>9582.6</v>
      </c>
      <c r="M15" s="88" t="n">
        <f aca="false">K15-L15</f>
        <v>1240.71</v>
      </c>
      <c r="N15" s="88" t="n">
        <f aca="false">N14+M15</f>
        <v>-77118.87</v>
      </c>
    </row>
    <row r="16" customFormat="false" ht="15" hidden="false" customHeight="false" outlineLevel="0" collapsed="false">
      <c r="A16" s="56" t="n">
        <v>14</v>
      </c>
      <c r="B16" s="89" t="n">
        <f aca="false">ROUND(B15*(1.3-(14-1)*0.008),0)</f>
        <v>2557</v>
      </c>
      <c r="C16" s="89" t="n">
        <f aca="false">ROUND(C15*0.98+B16,0)</f>
        <v>12477</v>
      </c>
      <c r="D16" s="89" t="n">
        <f aca="false">ROUND(C16*0.8,0)</f>
        <v>9982</v>
      </c>
      <c r="E16" s="89" t="n">
        <f aca="false">ROUND(D16*$E$2,0)</f>
        <v>499</v>
      </c>
      <c r="F16" s="89" t="n">
        <f aca="false">D16-E16</f>
        <v>9483</v>
      </c>
      <c r="G16" s="90" t="n">
        <f aca="false">E16*$G$2</f>
        <v>2245.5</v>
      </c>
      <c r="H16" s="90" t="n">
        <f aca="false">F16*$H$2</f>
        <v>9103.68</v>
      </c>
      <c r="I16" s="90" t="n">
        <f aca="false">F16*$I$2</f>
        <v>1991.43</v>
      </c>
      <c r="J16" s="90" t="n">
        <f aca="false">$J$2</f>
        <v>0</v>
      </c>
      <c r="K16" s="90" t="n">
        <f aca="false">SUM(G16:J16)</f>
        <v>13340.61</v>
      </c>
      <c r="L16" s="90" t="n">
        <f aca="false">$L$2</f>
        <v>9582.6</v>
      </c>
      <c r="M16" s="91" t="n">
        <f aca="false">K16-L16</f>
        <v>3758.01</v>
      </c>
      <c r="N16" s="91" t="n">
        <f aca="false">N15+M16</f>
        <v>-73360.86</v>
      </c>
    </row>
    <row r="17" customFormat="false" ht="15" hidden="false" customHeight="false" outlineLevel="0" collapsed="false">
      <c r="A17" s="59" t="n">
        <v>15</v>
      </c>
      <c r="B17" s="86" t="n">
        <f aca="false">ROUND(B16*(1.3-(15-1)*0.008),0)</f>
        <v>3038</v>
      </c>
      <c r="C17" s="86" t="n">
        <f aca="false">ROUND(C16*0.98+B17,0)</f>
        <v>15265</v>
      </c>
      <c r="D17" s="86" t="n">
        <f aca="false">ROUND(C17*0.8,0)</f>
        <v>12212</v>
      </c>
      <c r="E17" s="86" t="n">
        <f aca="false">ROUND(D17*$E$2,0)</f>
        <v>611</v>
      </c>
      <c r="F17" s="86" t="n">
        <f aca="false">D17-E17</f>
        <v>11601</v>
      </c>
      <c r="G17" s="87" t="n">
        <f aca="false">E17*$G$2</f>
        <v>2749.5</v>
      </c>
      <c r="H17" s="87" t="n">
        <f aca="false">F17*$H$2</f>
        <v>11136.96</v>
      </c>
      <c r="I17" s="87" t="n">
        <f aca="false">F17*$I$2</f>
        <v>2436.21</v>
      </c>
      <c r="J17" s="87" t="n">
        <f aca="false">$J$2</f>
        <v>0</v>
      </c>
      <c r="K17" s="87" t="n">
        <f aca="false">SUM(G17:J17)</f>
        <v>16322.67</v>
      </c>
      <c r="L17" s="87" t="n">
        <f aca="false">$L$2</f>
        <v>9582.6</v>
      </c>
      <c r="M17" s="88" t="n">
        <f aca="false">K17-L17</f>
        <v>6740.07</v>
      </c>
      <c r="N17" s="88" t="n">
        <f aca="false">N16+M17</f>
        <v>-66620.79</v>
      </c>
    </row>
    <row r="18" customFormat="false" ht="15" hidden="false" customHeight="false" outlineLevel="0" collapsed="false">
      <c r="A18" s="56" t="n">
        <v>16</v>
      </c>
      <c r="B18" s="89" t="n">
        <f aca="false">ROUND(B17*(1.3-(16-1)*0.008),0)</f>
        <v>3585</v>
      </c>
      <c r="C18" s="89" t="n">
        <f aca="false">ROUND(C17*0.98+B18,0)</f>
        <v>18545</v>
      </c>
      <c r="D18" s="89" t="n">
        <f aca="false">ROUND(C18*0.8,0)</f>
        <v>14836</v>
      </c>
      <c r="E18" s="89" t="n">
        <f aca="false">ROUND(D18*$E$2,0)</f>
        <v>742</v>
      </c>
      <c r="F18" s="89" t="n">
        <f aca="false">D18-E18</f>
        <v>14094</v>
      </c>
      <c r="G18" s="90" t="n">
        <f aca="false">E18*$G$2</f>
        <v>3339</v>
      </c>
      <c r="H18" s="90" t="n">
        <f aca="false">F18*$H$2</f>
        <v>13530.24</v>
      </c>
      <c r="I18" s="90" t="n">
        <f aca="false">F18*$I$2</f>
        <v>2959.74</v>
      </c>
      <c r="J18" s="90" t="n">
        <f aca="false">$J$2</f>
        <v>0</v>
      </c>
      <c r="K18" s="90" t="n">
        <f aca="false">SUM(G18:J18)</f>
        <v>19828.98</v>
      </c>
      <c r="L18" s="90" t="n">
        <f aca="false">$L$2</f>
        <v>9582.6</v>
      </c>
      <c r="M18" s="91" t="n">
        <f aca="false">K18-L18</f>
        <v>10246.38</v>
      </c>
      <c r="N18" s="91" t="n">
        <f aca="false">N17+M18</f>
        <v>-56374.41</v>
      </c>
    </row>
    <row r="19" customFormat="false" ht="15" hidden="false" customHeight="false" outlineLevel="0" collapsed="false">
      <c r="A19" s="59" t="n">
        <v>17</v>
      </c>
      <c r="B19" s="86" t="n">
        <f aca="false">ROUND(B18*(1.3-(17-1)*0.008),0)</f>
        <v>4202</v>
      </c>
      <c r="C19" s="86" t="n">
        <f aca="false">ROUND(C18*0.98+B19,0)</f>
        <v>22376</v>
      </c>
      <c r="D19" s="86" t="n">
        <f aca="false">ROUND(C19*0.8,0)</f>
        <v>17901</v>
      </c>
      <c r="E19" s="86" t="n">
        <f aca="false">ROUND(D19*$E$2,0)</f>
        <v>895</v>
      </c>
      <c r="F19" s="86" t="n">
        <f aca="false">D19-E19</f>
        <v>17006</v>
      </c>
      <c r="G19" s="87" t="n">
        <f aca="false">E19*$G$2</f>
        <v>4027.5</v>
      </c>
      <c r="H19" s="87" t="n">
        <f aca="false">F19*$H$2</f>
        <v>16325.76</v>
      </c>
      <c r="I19" s="87" t="n">
        <f aca="false">F19*$I$2</f>
        <v>3571.26</v>
      </c>
      <c r="J19" s="87" t="n">
        <f aca="false">$J$2</f>
        <v>0</v>
      </c>
      <c r="K19" s="87" t="n">
        <f aca="false">SUM(G19:J19)</f>
        <v>23924.52</v>
      </c>
      <c r="L19" s="87" t="n">
        <f aca="false">$L$2</f>
        <v>9582.6</v>
      </c>
      <c r="M19" s="88" t="n">
        <f aca="false">K19-L19</f>
        <v>14341.92</v>
      </c>
      <c r="N19" s="88" t="n">
        <f aca="false">N18+M19</f>
        <v>-42032.49</v>
      </c>
    </row>
    <row r="20" customFormat="false" ht="15" hidden="false" customHeight="false" outlineLevel="0" collapsed="false">
      <c r="A20" s="56" t="n">
        <v>18</v>
      </c>
      <c r="B20" s="89" t="n">
        <f aca="false">ROUND(B19*(1.3-(18-1)*0.008),0)</f>
        <v>4891</v>
      </c>
      <c r="C20" s="89" t="n">
        <f aca="false">ROUND(C19*0.98+B20,0)</f>
        <v>26819</v>
      </c>
      <c r="D20" s="89" t="n">
        <f aca="false">ROUND(C20*0.8,0)</f>
        <v>21455</v>
      </c>
      <c r="E20" s="89" t="n">
        <f aca="false">ROUND(D20*$E$2,0)</f>
        <v>1073</v>
      </c>
      <c r="F20" s="89" t="n">
        <f aca="false">D20-E20</f>
        <v>20382</v>
      </c>
      <c r="G20" s="90" t="n">
        <f aca="false">E20*$G$2</f>
        <v>4828.5</v>
      </c>
      <c r="H20" s="90" t="n">
        <f aca="false">F20*$H$2</f>
        <v>19566.72</v>
      </c>
      <c r="I20" s="90" t="n">
        <f aca="false">F20*$I$2</f>
        <v>4280.22</v>
      </c>
      <c r="J20" s="90" t="n">
        <f aca="false">$J$2</f>
        <v>0</v>
      </c>
      <c r="K20" s="90" t="n">
        <f aca="false">SUM(G20:J20)</f>
        <v>28675.44</v>
      </c>
      <c r="L20" s="90" t="n">
        <f aca="false">$L$2</f>
        <v>9582.6</v>
      </c>
      <c r="M20" s="91" t="n">
        <f aca="false">K20-L20</f>
        <v>19092.84</v>
      </c>
      <c r="N20" s="91" t="n">
        <f aca="false">N19+M20</f>
        <v>-22939.65</v>
      </c>
    </row>
    <row r="21" customFormat="false" ht="15" hidden="false" customHeight="false" outlineLevel="0" collapsed="false">
      <c r="A21" s="59" t="n">
        <v>19</v>
      </c>
      <c r="B21" s="86" t="n">
        <f aca="false">ROUND(B20*(1.3-(19-1)*0.008),0)</f>
        <v>5654</v>
      </c>
      <c r="C21" s="86" t="n">
        <f aca="false">ROUND(C20*0.98+B21,0)</f>
        <v>31937</v>
      </c>
      <c r="D21" s="86" t="n">
        <f aca="false">ROUND(C21*0.8,0)</f>
        <v>25550</v>
      </c>
      <c r="E21" s="86" t="n">
        <f aca="false">ROUND(D21*$E$2,0)</f>
        <v>1278</v>
      </c>
      <c r="F21" s="86" t="n">
        <f aca="false">D21-E21</f>
        <v>24272</v>
      </c>
      <c r="G21" s="87" t="n">
        <f aca="false">E21*$G$2</f>
        <v>5751</v>
      </c>
      <c r="H21" s="87" t="n">
        <f aca="false">F21*$H$2</f>
        <v>23301.12</v>
      </c>
      <c r="I21" s="87" t="n">
        <f aca="false">F21*$I$2</f>
        <v>5097.12</v>
      </c>
      <c r="J21" s="87" t="n">
        <f aca="false">$J$2</f>
        <v>0</v>
      </c>
      <c r="K21" s="87" t="n">
        <f aca="false">SUM(G21:J21)</f>
        <v>34149.24</v>
      </c>
      <c r="L21" s="87" t="n">
        <f aca="false">$L$2</f>
        <v>9582.6</v>
      </c>
      <c r="M21" s="88" t="n">
        <f aca="false">K21-L21</f>
        <v>24566.64</v>
      </c>
      <c r="N21" s="88" t="n">
        <f aca="false">N20+M21</f>
        <v>1626.99000000002</v>
      </c>
    </row>
    <row r="22" customFormat="false" ht="15" hidden="false" customHeight="false" outlineLevel="0" collapsed="false">
      <c r="A22" s="56" t="n">
        <v>20</v>
      </c>
      <c r="B22" s="89" t="n">
        <f aca="false">ROUND(B21*(1.3-(20-1)*0.008),0)</f>
        <v>6491</v>
      </c>
      <c r="C22" s="89" t="n">
        <f aca="false">ROUND(C21*0.98+B22,0)</f>
        <v>37789</v>
      </c>
      <c r="D22" s="89" t="n">
        <f aca="false">ROUND(C22*0.8,0)</f>
        <v>30231</v>
      </c>
      <c r="E22" s="89" t="n">
        <f aca="false">ROUND(D22*$E$2,0)</f>
        <v>1512</v>
      </c>
      <c r="F22" s="89" t="n">
        <f aca="false">D22-E22</f>
        <v>28719</v>
      </c>
      <c r="G22" s="90" t="n">
        <f aca="false">E22*$G$2</f>
        <v>6804</v>
      </c>
      <c r="H22" s="90" t="n">
        <f aca="false">F22*$H$2</f>
        <v>27570.24</v>
      </c>
      <c r="I22" s="90" t="n">
        <f aca="false">F22*$I$2</f>
        <v>6030.99</v>
      </c>
      <c r="J22" s="90" t="n">
        <f aca="false">$J$2</f>
        <v>0</v>
      </c>
      <c r="K22" s="90" t="n">
        <f aca="false">SUM(G22:J22)</f>
        <v>40405.23</v>
      </c>
      <c r="L22" s="90" t="n">
        <f aca="false">$L$2</f>
        <v>9582.6</v>
      </c>
      <c r="M22" s="91" t="n">
        <f aca="false">K22-L22</f>
        <v>30822.63</v>
      </c>
      <c r="N22" s="91" t="n">
        <f aca="false">N21+M22</f>
        <v>32449.62</v>
      </c>
    </row>
    <row r="23" customFormat="false" ht="15" hidden="false" customHeight="false" outlineLevel="0" collapsed="false">
      <c r="A23" s="59" t="n">
        <v>21</v>
      </c>
      <c r="B23" s="86" t="n">
        <f aca="false">ROUND(B22*(1.3-(21-1)*0.008),0)</f>
        <v>7400</v>
      </c>
      <c r="C23" s="86" t="n">
        <f aca="false">ROUND(C22*0.98+B23,0)</f>
        <v>44433</v>
      </c>
      <c r="D23" s="86" t="n">
        <f aca="false">ROUND(C23*0.8,0)</f>
        <v>35546</v>
      </c>
      <c r="E23" s="86" t="n">
        <f aca="false">ROUND(D23*$E$2,0)</f>
        <v>1777</v>
      </c>
      <c r="F23" s="86" t="n">
        <f aca="false">D23-E23</f>
        <v>33769</v>
      </c>
      <c r="G23" s="87" t="n">
        <f aca="false">E23*$G$2</f>
        <v>7996.5</v>
      </c>
      <c r="H23" s="87" t="n">
        <f aca="false">F23*$H$2</f>
        <v>32418.24</v>
      </c>
      <c r="I23" s="87" t="n">
        <f aca="false">F23*$I$2</f>
        <v>7091.49</v>
      </c>
      <c r="J23" s="87" t="n">
        <f aca="false">$J$2</f>
        <v>0</v>
      </c>
      <c r="K23" s="87" t="n">
        <f aca="false">SUM(G23:J23)</f>
        <v>47506.23</v>
      </c>
      <c r="L23" s="87" t="n">
        <f aca="false">$L$2</f>
        <v>9582.6</v>
      </c>
      <c r="M23" s="88" t="n">
        <f aca="false">K23-L23</f>
        <v>37923.63</v>
      </c>
      <c r="N23" s="88" t="n">
        <f aca="false">N22+M23</f>
        <v>70373.25</v>
      </c>
    </row>
    <row r="24" customFormat="false" ht="15" hidden="false" customHeight="false" outlineLevel="0" collapsed="false">
      <c r="A24" s="56" t="n">
        <v>22</v>
      </c>
      <c r="B24" s="89" t="n">
        <f aca="false">ROUND(B23*(1.3-(22-1)*0.008),0)</f>
        <v>8377</v>
      </c>
      <c r="C24" s="89" t="n">
        <f aca="false">ROUND(C23*0.98+B24,0)</f>
        <v>51921</v>
      </c>
      <c r="D24" s="89" t="n">
        <f aca="false">ROUND(C24*0.8,0)</f>
        <v>41537</v>
      </c>
      <c r="E24" s="89" t="n">
        <f aca="false">ROUND(D24*$E$2,0)</f>
        <v>2077</v>
      </c>
      <c r="F24" s="89" t="n">
        <f aca="false">D24-E24</f>
        <v>39460</v>
      </c>
      <c r="G24" s="90" t="n">
        <f aca="false">E24*$G$2</f>
        <v>9346.5</v>
      </c>
      <c r="H24" s="90" t="n">
        <f aca="false">F24*$H$2</f>
        <v>37881.6</v>
      </c>
      <c r="I24" s="90" t="n">
        <f aca="false">F24*$I$2</f>
        <v>8286.6</v>
      </c>
      <c r="J24" s="90" t="n">
        <f aca="false">$J$2</f>
        <v>0</v>
      </c>
      <c r="K24" s="90" t="n">
        <f aca="false">SUM(G24:J24)</f>
        <v>55514.7</v>
      </c>
      <c r="L24" s="90" t="n">
        <f aca="false">$L$2</f>
        <v>9582.6</v>
      </c>
      <c r="M24" s="91" t="n">
        <f aca="false">K24-L24</f>
        <v>45932.1</v>
      </c>
      <c r="N24" s="91" t="n">
        <f aca="false">N23+M24</f>
        <v>116305.35</v>
      </c>
    </row>
    <row r="25" customFormat="false" ht="15" hidden="false" customHeight="false" outlineLevel="0" collapsed="false">
      <c r="A25" s="59" t="n">
        <v>23</v>
      </c>
      <c r="B25" s="86" t="n">
        <f aca="false">ROUND(B24*(1.3-(23-1)*0.008),0)</f>
        <v>9416</v>
      </c>
      <c r="C25" s="86" t="n">
        <f aca="false">ROUND(C24*0.98+B25,0)</f>
        <v>60299</v>
      </c>
      <c r="D25" s="86" t="n">
        <f aca="false">ROUND(C25*0.8,0)</f>
        <v>48239</v>
      </c>
      <c r="E25" s="86" t="n">
        <f aca="false">ROUND(D25*$E$2,0)</f>
        <v>2412</v>
      </c>
      <c r="F25" s="86" t="n">
        <f aca="false">D25-E25</f>
        <v>45827</v>
      </c>
      <c r="G25" s="87" t="n">
        <f aca="false">E25*$G$2</f>
        <v>10854</v>
      </c>
      <c r="H25" s="87" t="n">
        <f aca="false">F25*$H$2</f>
        <v>43993.92</v>
      </c>
      <c r="I25" s="87" t="n">
        <f aca="false">F25*$I$2</f>
        <v>9623.67</v>
      </c>
      <c r="J25" s="87" t="n">
        <f aca="false">$J$2</f>
        <v>0</v>
      </c>
      <c r="K25" s="87" t="n">
        <f aca="false">SUM(G25:J25)</f>
        <v>64471.59</v>
      </c>
      <c r="L25" s="87" t="n">
        <f aca="false">$L$2</f>
        <v>9582.6</v>
      </c>
      <c r="M25" s="88" t="n">
        <f aca="false">K25-L25</f>
        <v>54888.99</v>
      </c>
      <c r="N25" s="88" t="n">
        <f aca="false">N24+M25</f>
        <v>171194.34</v>
      </c>
    </row>
    <row r="26" customFormat="false" ht="15" hidden="false" customHeight="false" outlineLevel="0" collapsed="false">
      <c r="A26" s="56" t="n">
        <v>24</v>
      </c>
      <c r="B26" s="89" t="n">
        <f aca="false">ROUND(B25*(1.3-(24-1)*0.008),0)</f>
        <v>10508</v>
      </c>
      <c r="C26" s="89" t="n">
        <f aca="false">ROUND(C25*0.98+B26,0)</f>
        <v>69601</v>
      </c>
      <c r="D26" s="89" t="n">
        <f aca="false">ROUND(C26*0.8,0)</f>
        <v>55681</v>
      </c>
      <c r="E26" s="89" t="n">
        <f aca="false">ROUND(D26*$E$2,0)</f>
        <v>2784</v>
      </c>
      <c r="F26" s="89" t="n">
        <f aca="false">D26-E26</f>
        <v>52897</v>
      </c>
      <c r="G26" s="90" t="n">
        <f aca="false">E26*$G$2</f>
        <v>12528</v>
      </c>
      <c r="H26" s="90" t="n">
        <f aca="false">F26*$H$2</f>
        <v>50781.12</v>
      </c>
      <c r="I26" s="90" t="n">
        <f aca="false">F26*$I$2</f>
        <v>11108.37</v>
      </c>
      <c r="J26" s="90" t="n">
        <f aca="false">$J$2</f>
        <v>0</v>
      </c>
      <c r="K26" s="90" t="n">
        <f aca="false">SUM(G26:J26)</f>
        <v>74417.49</v>
      </c>
      <c r="L26" s="90" t="n">
        <f aca="false">$L$2</f>
        <v>9582.6</v>
      </c>
      <c r="M26" s="91" t="n">
        <f aca="false">K26-L26</f>
        <v>64834.89</v>
      </c>
      <c r="N26" s="91" t="n">
        <f aca="false">N25+M26</f>
        <v>236029.23</v>
      </c>
    </row>
    <row r="27" customFormat="false" ht="15" hidden="false" customHeight="false" outlineLevel="0" collapsed="false">
      <c r="A27" s="66" t="s">
        <v>122</v>
      </c>
      <c r="B27" s="79" t="n">
        <f aca="false">SUM(B3:B26)</f>
        <v>76926</v>
      </c>
      <c r="C27" s="79" t="n">
        <f aca="false">C26</f>
        <v>69601</v>
      </c>
      <c r="D27" s="79" t="n">
        <f aca="false">D26</f>
        <v>55681</v>
      </c>
      <c r="E27" s="79" t="n">
        <f aca="false">E26</f>
        <v>2784</v>
      </c>
      <c r="F27" s="79" t="n">
        <f aca="false">F26</f>
        <v>52897</v>
      </c>
      <c r="G27" s="67" t="n">
        <f aca="false">SUM(G3:G26)</f>
        <v>78462</v>
      </c>
      <c r="H27" s="67" t="n">
        <f aca="false">SUM(H3:H26)</f>
        <v>317989.44</v>
      </c>
      <c r="I27" s="67" t="n">
        <f aca="false">SUM(I3:I26)</f>
        <v>69560.19</v>
      </c>
      <c r="J27" s="67" t="n">
        <f aca="false">SUM(J3:J26)</f>
        <v>0</v>
      </c>
      <c r="K27" s="67" t="n">
        <f aca="false">SUM(K3:K26)</f>
        <v>466011.63</v>
      </c>
      <c r="L27" s="67" t="n">
        <f aca="false">SUM(L3:L26)</f>
        <v>229982.4</v>
      </c>
      <c r="M27" s="67" t="n">
        <f aca="false">SUM(M3:M26)</f>
        <v>236029.23</v>
      </c>
      <c r="N27" s="67" t="n">
        <f aca="false">N26</f>
        <v>236029.23</v>
      </c>
    </row>
    <row r="29" customFormat="false" ht="15" hidden="false" customHeight="false" outlineLevel="0" collapsed="false">
      <c r="A29" s="92" t="s">
        <v>123</v>
      </c>
      <c r="B29" s="93" t="n">
        <f aca="false">IFERROR(MATCH(TRUE(),INDEX(M3:M26&gt;0,0),0),"Nicht in 24 Mon.")</f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6"/>
  </cols>
  <sheetData>
    <row r="1" customFormat="false" ht="15" hidden="false" customHeight="false" outlineLevel="0" collapsed="false">
      <c r="A1" s="55" t="s">
        <v>124</v>
      </c>
      <c r="B1" s="55" t="s">
        <v>125</v>
      </c>
      <c r="C1" s="55" t="s">
        <v>126</v>
      </c>
      <c r="D1" s="55" t="s">
        <v>127</v>
      </c>
    </row>
    <row r="2" customFormat="false" ht="15" hidden="false" customHeight="false" outlineLevel="0" collapsed="false">
      <c r="A2" s="56" t="s">
        <v>128</v>
      </c>
      <c r="B2" s="74" t="n">
        <v>0.03</v>
      </c>
      <c r="C2" s="74" t="n">
        <v>0.05</v>
      </c>
      <c r="D2" s="74" t="n">
        <v>0.08</v>
      </c>
    </row>
    <row r="3" customFormat="false" ht="15" hidden="false" customHeight="false" outlineLevel="0" collapsed="false">
      <c r="A3" s="59" t="s">
        <v>129</v>
      </c>
      <c r="B3" s="75" t="n">
        <v>3.99</v>
      </c>
      <c r="C3" s="75" t="n">
        <v>4.5</v>
      </c>
      <c r="D3" s="75" t="n">
        <v>5.99</v>
      </c>
    </row>
    <row r="4" customFormat="false" ht="15" hidden="false" customHeight="false" outlineLevel="0" collapsed="false">
      <c r="A4" s="56" t="s">
        <v>130</v>
      </c>
      <c r="B4" s="76" t="n">
        <v>3000</v>
      </c>
      <c r="C4" s="76" t="n">
        <v>8000</v>
      </c>
      <c r="D4" s="76" t="n">
        <v>20000</v>
      </c>
    </row>
    <row r="5" customFormat="false" ht="15" hidden="false" customHeight="false" outlineLevel="0" collapsed="false">
      <c r="A5" s="59" t="s">
        <v>131</v>
      </c>
      <c r="B5" s="94" t="n">
        <v>8000</v>
      </c>
      <c r="C5" s="94" t="n">
        <v>25000</v>
      </c>
      <c r="D5" s="94" t="n">
        <v>80000</v>
      </c>
    </row>
    <row r="6" customFormat="false" ht="15" hidden="false" customHeight="false" outlineLevel="0" collapsed="false">
      <c r="A6" s="56" t="s">
        <v>132</v>
      </c>
      <c r="B6" s="74" t="n">
        <v>0.05</v>
      </c>
      <c r="C6" s="74" t="n">
        <v>0.03</v>
      </c>
      <c r="D6" s="74" t="n">
        <v>0.02</v>
      </c>
    </row>
    <row r="8" customFormat="false" ht="15" hidden="false" customHeight="false" outlineLevel="0" collapsed="false">
      <c r="A8" s="55" t="s">
        <v>133</v>
      </c>
      <c r="B8" s="55"/>
      <c r="C8" s="55"/>
      <c r="D8" s="55"/>
    </row>
    <row r="9" customFormat="false" ht="15" hidden="false" customHeight="false" outlineLevel="0" collapsed="false">
      <c r="A9" s="56" t="s">
        <v>109</v>
      </c>
      <c r="B9" s="71" t="n">
        <f aca="false">ROUND(B4*0.8,0)</f>
        <v>2400</v>
      </c>
      <c r="C9" s="71" t="n">
        <f aca="false">ROUND(C4*0.8,0)</f>
        <v>6400</v>
      </c>
      <c r="D9" s="71" t="n">
        <f aca="false">ROUND(D4*0.8,0)</f>
        <v>16000</v>
      </c>
    </row>
    <row r="10" customFormat="false" ht="15" hidden="false" customHeight="false" outlineLevel="0" collapsed="false">
      <c r="A10" s="59" t="s">
        <v>134</v>
      </c>
      <c r="B10" s="78" t="n">
        <f aca="false">B2*B3 + (1-B2)*(Erlösmodell!C5*Erlösmodell!C6 + Erlösmodell!C7*Erlösmodell!C8/1000)</f>
        <v>1.2546</v>
      </c>
      <c r="C10" s="78" t="n">
        <f aca="false">C2*C3 + (1-C2)*(Erlösmodell!C5*Erlösmodell!C6 + Erlösmodell!C7*Erlösmodell!C8/1000)</f>
        <v>1.3365</v>
      </c>
      <c r="D10" s="78" t="n">
        <f aca="false">D2*D3 + (1-D2)*(Erlösmodell!C5*Erlösmodell!C6 + Erlösmodell!C7*Erlösmodell!C8/1000)</f>
        <v>1.5556</v>
      </c>
    </row>
    <row r="11" customFormat="false" ht="15" hidden="false" customHeight="false" outlineLevel="0" collapsed="false">
      <c r="A11" s="56" t="s">
        <v>135</v>
      </c>
      <c r="B11" s="58" t="n">
        <f aca="false">B9*B10</f>
        <v>3011.04</v>
      </c>
      <c r="C11" s="58" t="n">
        <f aca="false">C9*C10</f>
        <v>8553.6</v>
      </c>
      <c r="D11" s="58" t="n">
        <f aca="false">D9*D10</f>
        <v>24889.6</v>
      </c>
    </row>
    <row r="12" customFormat="false" ht="15" hidden="false" customHeight="false" outlineLevel="0" collapsed="false">
      <c r="A12" s="59" t="s">
        <v>136</v>
      </c>
      <c r="B12" s="61" t="n">
        <f aca="false">'2 Gründer'!B45</f>
        <v>9582.6</v>
      </c>
      <c r="C12" s="61" t="n">
        <f aca="false">'2 Gründer'!B45</f>
        <v>9582.6</v>
      </c>
      <c r="D12" s="61" t="n">
        <f aca="false">'2 Gründer'!B45</f>
        <v>9582.6</v>
      </c>
    </row>
    <row r="13" customFormat="false" ht="15" hidden="false" customHeight="false" outlineLevel="0" collapsed="false">
      <c r="A13" s="66" t="s">
        <v>137</v>
      </c>
      <c r="B13" s="95" t="n">
        <f aca="false">B11-B12</f>
        <v>-6571.56</v>
      </c>
      <c r="C13" s="95" t="n">
        <f aca="false">C11-C12</f>
        <v>-1029</v>
      </c>
      <c r="D13" s="95" t="n">
        <f aca="false">D11-D12</f>
        <v>15307</v>
      </c>
    </row>
    <row r="15" customFormat="false" ht="15" hidden="false" customHeight="false" outlineLevel="0" collapsed="false">
      <c r="A15" s="55" t="s">
        <v>138</v>
      </c>
      <c r="B15" s="55"/>
      <c r="C15" s="55"/>
      <c r="D15" s="55"/>
    </row>
    <row r="16" customFormat="false" ht="15" hidden="false" customHeight="false" outlineLevel="0" collapsed="false">
      <c r="A16" s="56" t="s">
        <v>109</v>
      </c>
      <c r="B16" s="71" t="n">
        <f aca="false">ROUND(B5*0.8,0)</f>
        <v>6400</v>
      </c>
      <c r="C16" s="71" t="n">
        <f aca="false">ROUND(C5*0.8,0)</f>
        <v>20000</v>
      </c>
      <c r="D16" s="71" t="n">
        <f aca="false">ROUND(D5*0.8,0)</f>
        <v>64000</v>
      </c>
    </row>
    <row r="17" customFormat="false" ht="15" hidden="false" customHeight="false" outlineLevel="0" collapsed="false">
      <c r="A17" s="59" t="s">
        <v>135</v>
      </c>
      <c r="B17" s="61" t="n">
        <f aca="false">B16*B10</f>
        <v>8029.44</v>
      </c>
      <c r="C17" s="61" t="n">
        <f aca="false">C16*C10</f>
        <v>26730</v>
      </c>
      <c r="D17" s="61" t="n">
        <f aca="false">D16*D10</f>
        <v>99558.4</v>
      </c>
    </row>
    <row r="18" customFormat="false" ht="15" hidden="false" customHeight="false" outlineLevel="0" collapsed="false">
      <c r="A18" s="66" t="s">
        <v>137</v>
      </c>
      <c r="B18" s="95" t="n">
        <f aca="false">B17-B12</f>
        <v>-1553.16</v>
      </c>
      <c r="C18" s="95" t="n">
        <f aca="false">C17-C12</f>
        <v>17147.4</v>
      </c>
      <c r="D18" s="95" t="n">
        <f aca="false">D17-D12</f>
        <v>89975.8</v>
      </c>
    </row>
    <row r="20" customFormat="false" ht="15" hidden="false" customHeight="false" outlineLevel="0" collapsed="false">
      <c r="A20" s="68" t="s">
        <v>139</v>
      </c>
      <c r="B20" s="80" t="n">
        <f aca="false">ROUNDUP(B12/B10,0)</f>
        <v>7638</v>
      </c>
      <c r="C20" s="80" t="n">
        <f aca="false">ROUNDUP(C12/C10,0)</f>
        <v>7170</v>
      </c>
      <c r="D20" s="80" t="n">
        <f aca="false">ROUNDUP(D12/D10,0)</f>
        <v>6161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2024-03-31T06:42:54Z</dcterms:created>
  <dc:creator>Holger Grumbt</dc:creator>
  <dc:description/>
  <dc:language>en-US</dc:language>
  <cp:lastModifiedBy>Holger Grumbt</cp:lastModifiedBy>
  <cp:lastPrinted>2025-04-16T08:06:44Z</cp:lastPrinted>
  <dcterms:modified xsi:type="dcterms:W3CDTF">2026-04-08T01:38:41Z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